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712" firstSheet="1"/>
  </bookViews>
  <sheets>
    <sheet name="展开-报价单" sheetId="17" r:id="rId1"/>
    <sheet name="柜体-报价单" sheetId="22" r:id="rId2"/>
    <sheet name="板件清单" sheetId="20" r:id="rId3"/>
    <sheet name="柜体清单" sheetId="21" r:id="rId4"/>
    <sheet name="门板清单" sheetId="12" r:id="rId5"/>
    <sheet name="五金|辅料清单" sheetId="5" r:id="rId6"/>
    <sheet name="开料单" sheetId="10" r:id="rId7"/>
    <sheet name="罗马柱|顶线" sheetId="13" r:id="rId8"/>
    <sheet name="大板预估用量" sheetId="28" state="hidden" r:id="rId9"/>
    <sheet name="HdrCost" sheetId="23" state="hidden" r:id="rId10"/>
    <sheet name="HdrPlate" sheetId="24" state="hidden" r:id="rId11"/>
    <sheet name="HdrDoor" sheetId="25" state="hidden" r:id="rId12"/>
    <sheet name="HdrHw" sheetId="26" state="hidden" r:id="rId13"/>
    <sheet name="HdrRome" sheetId="27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<sst xmlns="http://schemas.openxmlformats.org/spreadsheetml/2006/main" count="11696" uniqueCount="692">
  <si>
    <t>报价单</t>
  </si>
  <si>
    <t>订单</t>
  </si>
  <si>
    <t>鲁能星城外滩天景3栋21-1</t>
  </si>
  <si>
    <t>经销商</t>
  </si>
  <si>
    <t/>
  </si>
  <si>
    <t>客  户</t>
  </si>
  <si>
    <t>客户</t>
  </si>
  <si>
    <t>下单</t>
  </si>
  <si>
    <t>2025/1/3</t>
  </si>
  <si>
    <t>封  边</t>
  </si>
  <si>
    <t>厚1|薄1</t>
  </si>
  <si>
    <t>电  话</t>
  </si>
  <si>
    <t>交货</t>
  </si>
  <si>
    <t>2025/1/18</t>
  </si>
  <si>
    <t>订单备注</t>
  </si>
  <si>
    <t>发货地址</t>
  </si>
  <si>
    <t>柜体板件（含加工门板）</t>
  </si>
  <si>
    <t>序号</t>
  </si>
  <si>
    <t>柜体名称</t>
  </si>
  <si>
    <t>板件名称</t>
  </si>
  <si>
    <t>基材</t>
  </si>
  <si>
    <t>颜色/纹理</t>
  </si>
  <si>
    <t>尺寸（mm）</t>
  </si>
  <si>
    <t>单价</t>
  </si>
  <si>
    <t>数量</t>
  </si>
  <si>
    <t>面积(㎡)</t>
  </si>
  <si>
    <t>金额</t>
  </si>
  <si>
    <t>长</t>
  </si>
  <si>
    <t>宽</t>
  </si>
  <si>
    <t>厚</t>
  </si>
  <si>
    <t>001鞋柜冰箱柜-柜体-02</t>
  </si>
  <si>
    <t>左开门</t>
  </si>
  <si>
    <t>大王椰</t>
  </si>
  <si>
    <t>极窄玻璃门</t>
  </si>
  <si>
    <t>上150下100</t>
  </si>
  <si>
    <t>右开门</t>
  </si>
  <si>
    <t>001鞋柜冰箱柜-柜体-03</t>
  </si>
  <si>
    <t>下150，600，1200上150，600</t>
  </si>
  <si>
    <t>002主卧衣柜-柜体-02</t>
  </si>
  <si>
    <t>下100，650上150</t>
  </si>
  <si>
    <t>003主卧衣柜CD面-柜体-01</t>
  </si>
  <si>
    <t>006电视柜-柜体-01</t>
  </si>
  <si>
    <t>18mm 大王椰(极窄玻璃门)   合计</t>
  </si>
  <si>
    <t>五金件</t>
  </si>
  <si>
    <t>名称</t>
  </si>
  <si>
    <t>材质</t>
  </si>
  <si>
    <t>规格</t>
  </si>
  <si>
    <t>三合一连接件</t>
  </si>
  <si>
    <t>不锈钢</t>
  </si>
  <si>
    <t xml:space="preserve"> Φ12</t>
  </si>
  <si>
    <t>灯带</t>
  </si>
  <si>
    <t>塑料</t>
  </si>
  <si>
    <t xml:space="preserve"> 11×11×722</t>
  </si>
  <si>
    <t>标配滑轨</t>
  </si>
  <si>
    <t xml:space="preserve"> 滑轨 250×45</t>
  </si>
  <si>
    <t>铰链</t>
  </si>
  <si>
    <t>镀镍</t>
  </si>
  <si>
    <t xml:space="preserve"> 全盖式铰链</t>
  </si>
  <si>
    <t xml:space="preserve"> 11×11×1964</t>
  </si>
  <si>
    <t>活动层板销钉</t>
  </si>
  <si>
    <t xml:space="preserve"> Φ5</t>
  </si>
  <si>
    <t xml:space="preserve"> 11×11×773</t>
  </si>
  <si>
    <t xml:space="preserve"> 半盖式铰链</t>
  </si>
  <si>
    <t xml:space="preserve"> 11×11×432</t>
  </si>
  <si>
    <t xml:space="preserve"> 11×11×11</t>
  </si>
  <si>
    <t xml:space="preserve"> 内嵌式铰链</t>
  </si>
  <si>
    <t xml:space="preserve"> 滑轨 350×45</t>
  </si>
  <si>
    <t xml:space="preserve"> 11×11×388</t>
  </si>
  <si>
    <t xml:space="preserve"> 滑轨 500×45</t>
  </si>
  <si>
    <t>挂衣杆</t>
  </si>
  <si>
    <t>铝合金</t>
  </si>
  <si>
    <t xml:space="preserve"> 813×15×30</t>
  </si>
  <si>
    <t>衣杆托</t>
  </si>
  <si>
    <t>锌合金</t>
  </si>
  <si>
    <t xml:space="preserve"> 50×15×30</t>
  </si>
  <si>
    <t xml:space="preserve"> 980×15×30</t>
  </si>
  <si>
    <t xml:space="preserve"> 11×11×973</t>
  </si>
  <si>
    <t xml:space="preserve"> 滑轨 450×45</t>
  </si>
  <si>
    <t xml:space="preserve"> 965×15×30</t>
  </si>
  <si>
    <t xml:space="preserve"> 1031×15×30</t>
  </si>
  <si>
    <t xml:space="preserve"> 736×15×30</t>
  </si>
  <si>
    <t xml:space="preserve"> 滑轨 400×45</t>
  </si>
  <si>
    <t xml:space="preserve"> 455×15×30</t>
  </si>
  <si>
    <t xml:space="preserve"> 1030×15×30</t>
  </si>
  <si>
    <t xml:space="preserve"> 11×11×2469</t>
  </si>
  <si>
    <t xml:space="preserve"> 11×11×823</t>
  </si>
  <si>
    <t xml:space="preserve"> 11×11×450</t>
  </si>
  <si>
    <t>平开合页</t>
  </si>
  <si>
    <t>玻璃门直臂</t>
  </si>
  <si>
    <t>玻璃门中弯</t>
  </si>
  <si>
    <t>膨胀螺丝</t>
  </si>
  <si>
    <t>反弹器</t>
  </si>
  <si>
    <t>柜脚</t>
  </si>
  <si>
    <t>洗衣机柜</t>
  </si>
  <si>
    <t>PVC</t>
  </si>
  <si>
    <t>600+400</t>
  </si>
  <si>
    <t>转角</t>
  </si>
  <si>
    <t>螺丝</t>
  </si>
  <si>
    <t>合计</t>
  </si>
  <si>
    <t>封边条（m）</t>
  </si>
  <si>
    <t>总长</t>
  </si>
  <si>
    <t>厚封边</t>
  </si>
  <si>
    <t>薄封边</t>
  </si>
  <si>
    <t>此订单总金额</t>
  </si>
  <si>
    <t>柜体清单</t>
  </si>
  <si>
    <t>类别</t>
  </si>
  <si>
    <t>板件尺寸</t>
  </si>
  <si>
    <t>数量（㎡、个）</t>
  </si>
  <si>
    <t>1</t>
  </si>
  <si>
    <t>001鞋柜冰箱柜-柜体-01
776×330×2420</t>
  </si>
  <si>
    <t>左侧板</t>
  </si>
  <si>
    <t>DWYNY-09</t>
  </si>
  <si>
    <t>2420×150×18</t>
  </si>
  <si>
    <t>432×350×18</t>
  </si>
  <si>
    <t>背板</t>
  </si>
  <si>
    <t>DWYNY-25</t>
  </si>
  <si>
    <t>160×722×18</t>
  </si>
  <si>
    <t>底板</t>
  </si>
  <si>
    <t>722×330×18</t>
  </si>
  <si>
    <t>普通抽屉吸塑面板</t>
  </si>
  <si>
    <t>737×244×18</t>
  </si>
  <si>
    <t>普通抽屉前板</t>
  </si>
  <si>
    <t>660×150×18</t>
  </si>
  <si>
    <t>普通抽屉后板</t>
  </si>
  <si>
    <t>普通抽屉左侧帮</t>
  </si>
  <si>
    <t>250×150×18</t>
  </si>
  <si>
    <t>普通抽屉右侧帮</t>
  </si>
  <si>
    <t>普通抽屉底板</t>
  </si>
  <si>
    <t>670×224×9</t>
  </si>
  <si>
    <t>固定层板</t>
  </si>
  <si>
    <t>740×50×18</t>
  </si>
  <si>
    <t>前板</t>
  </si>
  <si>
    <t>50×740×18</t>
  </si>
  <si>
    <t>264×732×9</t>
  </si>
  <si>
    <t>YX右侧板</t>
  </si>
  <si>
    <t>432×330×18</t>
  </si>
  <si>
    <t>758×350×18</t>
  </si>
  <si>
    <t>YX背板</t>
  </si>
  <si>
    <t>1670×758×18</t>
  </si>
  <si>
    <t>YX左侧板</t>
  </si>
  <si>
    <t>310×350×18</t>
  </si>
  <si>
    <t>54×722×18</t>
  </si>
  <si>
    <t>顶板</t>
  </si>
  <si>
    <t>722×192×18</t>
  </si>
  <si>
    <t>250×330×18</t>
  </si>
  <si>
    <t>顶挡板</t>
  </si>
  <si>
    <t>顶挡侧板</t>
  </si>
  <si>
    <t>740×80×18</t>
  </si>
  <si>
    <t>297×367×18</t>
  </si>
  <si>
    <t>178×740×18</t>
  </si>
  <si>
    <t>740×120×18</t>
  </si>
  <si>
    <t>普通拉手</t>
  </si>
  <si>
    <t xml:space="preserve"> 202(192)×10×25</t>
  </si>
  <si>
    <t>001鞋柜冰箱柜-柜体-01    小计</t>
  </si>
  <si>
    <t>2</t>
  </si>
  <si>
    <t>001鞋柜冰箱柜-柜体-02
2000×330×2420</t>
  </si>
  <si>
    <t>1032×330×18</t>
  </si>
  <si>
    <t>160×1964×18</t>
  </si>
  <si>
    <t>1964×330×18</t>
  </si>
  <si>
    <t>237×783×9</t>
  </si>
  <si>
    <t>773×325×18</t>
  </si>
  <si>
    <t>178×783×9</t>
  </si>
  <si>
    <t>1982×50×18</t>
  </si>
  <si>
    <t>50×1982×18</t>
  </si>
  <si>
    <t>247×783×9</t>
  </si>
  <si>
    <t>YX中立板</t>
  </si>
  <si>
    <t>854×330×18</t>
  </si>
  <si>
    <t>782×276×18</t>
  </si>
  <si>
    <t>609×792×9</t>
  </si>
  <si>
    <t>782×325×18</t>
  </si>
  <si>
    <t>247×792×9</t>
  </si>
  <si>
    <t>237×383×9</t>
  </si>
  <si>
    <t>373×325×18</t>
  </si>
  <si>
    <t>178×383×9</t>
  </si>
  <si>
    <t>247×383×9</t>
  </si>
  <si>
    <t>2000×350×18</t>
  </si>
  <si>
    <t>510×2000×18</t>
  </si>
  <si>
    <t>810×330×18</t>
  </si>
  <si>
    <t>773×296×18</t>
  </si>
  <si>
    <t>624×783×9</t>
  </si>
  <si>
    <t>横向拉条</t>
  </si>
  <si>
    <t>773×80×18</t>
  </si>
  <si>
    <t>774×330×18</t>
  </si>
  <si>
    <t>624×792×9</t>
  </si>
  <si>
    <t>782×80×18</t>
  </si>
  <si>
    <t>373×296×18</t>
  </si>
  <si>
    <t>624×383×9</t>
  </si>
  <si>
    <t>373×80×18</t>
  </si>
  <si>
    <t>1964×192×18</t>
  </si>
  <si>
    <t>2000×50×18</t>
  </si>
  <si>
    <t>2000×80×18</t>
  </si>
  <si>
    <t>857×397×18</t>
  </si>
  <si>
    <t>844×397×18</t>
  </si>
  <si>
    <t>178×1964×18</t>
  </si>
  <si>
    <t>1964×120×18</t>
  </si>
  <si>
    <t>001鞋柜冰箱柜-柜体-02    小计</t>
  </si>
  <si>
    <t>3</t>
  </si>
  <si>
    <t>001鞋柜冰箱柜-柜体-03
468×330×2420</t>
  </si>
  <si>
    <t>2370×330×18</t>
  </si>
  <si>
    <t>踢脚板</t>
  </si>
  <si>
    <t>432×60×18</t>
  </si>
  <si>
    <t>450×442×9</t>
  </si>
  <si>
    <t>432×325×18</t>
  </si>
  <si>
    <t>292×442×9</t>
  </si>
  <si>
    <t>432×192×18</t>
  </si>
  <si>
    <t>468×50×18</t>
  </si>
  <si>
    <t>468×80×18</t>
  </si>
  <si>
    <t>2387×465×18</t>
  </si>
  <si>
    <t>178×432×18</t>
  </si>
  <si>
    <t>432×120×18</t>
  </si>
  <si>
    <t>001鞋柜冰箱柜-柜体-03    小计</t>
  </si>
  <si>
    <t>4</t>
  </si>
  <si>
    <t>001鞋柜冰箱柜-柜体-04
768×750×2305</t>
  </si>
  <si>
    <t>YX圆弧板</t>
  </si>
  <si>
    <t>1153.7×2305×18</t>
  </si>
  <si>
    <t>YX底板</t>
  </si>
  <si>
    <t>200×432×18</t>
  </si>
  <si>
    <t>YX固定层板</t>
  </si>
  <si>
    <t>200×414×18</t>
  </si>
  <si>
    <t>2229×200×18</t>
  </si>
  <si>
    <t>YX顶板</t>
  </si>
  <si>
    <t>中立板</t>
  </si>
  <si>
    <t>2285×432×18</t>
  </si>
  <si>
    <t>右侧板</t>
  </si>
  <si>
    <t>2305×620×18</t>
  </si>
  <si>
    <t>001鞋柜冰箱柜-柜体-04    小计</t>
  </si>
  <si>
    <t>5</t>
  </si>
  <si>
    <t>001鞋柜冰箱柜-柜体-05
920×620×2305</t>
  </si>
  <si>
    <t>1850×920×18</t>
  </si>
  <si>
    <t>405×620×18</t>
  </si>
  <si>
    <t>884×620×18</t>
  </si>
  <si>
    <t>379×894×9</t>
  </si>
  <si>
    <t>884×80×18</t>
  </si>
  <si>
    <t>920×50×18</t>
  </si>
  <si>
    <t>920×80×18</t>
  </si>
  <si>
    <t>442×457×18</t>
  </si>
  <si>
    <t>001鞋柜冰箱柜-柜体-05    小计</t>
  </si>
  <si>
    <t>6</t>
  </si>
  <si>
    <t>001鞋柜冰箱柜-柜体-06
697×620×2305</t>
  </si>
  <si>
    <t>108×697×18</t>
  </si>
  <si>
    <t>661×110×18</t>
  </si>
  <si>
    <t>661×620×18</t>
  </si>
  <si>
    <t>661×586×18</t>
  </si>
  <si>
    <t>664×671×9</t>
  </si>
  <si>
    <t>前挡板</t>
  </si>
  <si>
    <t>450×50×18</t>
  </si>
  <si>
    <t>450×620×18</t>
  </si>
  <si>
    <t>321×671×9</t>
  </si>
  <si>
    <t>661×615×18</t>
  </si>
  <si>
    <t>650×671×9</t>
  </si>
  <si>
    <t>661×50×18</t>
  </si>
  <si>
    <t>661×80×18</t>
  </si>
  <si>
    <t>1042×345.5×18</t>
  </si>
  <si>
    <t>687×345.5×18</t>
  </si>
  <si>
    <t>001鞋柜冰箱柜-柜体-06    小计</t>
  </si>
  <si>
    <t>007阳台洗衣机柜-柜体-01
1042×580×885</t>
  </si>
  <si>
    <t>860×50×18</t>
  </si>
  <si>
    <t>867×580×18</t>
  </si>
  <si>
    <t>337×580×18</t>
  </si>
  <si>
    <t>739×580×18</t>
  </si>
  <si>
    <t>301×546×18</t>
  </si>
  <si>
    <t>竖拉条</t>
  </si>
  <si>
    <t>301×60×18</t>
  </si>
  <si>
    <t>749×311×9</t>
  </si>
  <si>
    <t>1010×580×18</t>
  </si>
  <si>
    <t>右开门上150</t>
  </si>
  <si>
    <t>745×334×18</t>
  </si>
  <si>
    <t>007阳台洗衣机柜-柜体-01    小计</t>
  </si>
  <si>
    <t>007阳台洗衣机柜-柜体-02
840×570×2475</t>
  </si>
  <si>
    <t>2325×600×18</t>
  </si>
  <si>
    <t>58×804×18</t>
  </si>
  <si>
    <t>786×60×18</t>
  </si>
  <si>
    <t>304×60×18</t>
  </si>
  <si>
    <t>786×570×18</t>
  </si>
  <si>
    <t>786×536×18</t>
  </si>
  <si>
    <t>1648×314×9</t>
  </si>
  <si>
    <t>583×314×9</t>
  </si>
  <si>
    <t>2325×352×18</t>
  </si>
  <si>
    <t>2325×50×18</t>
  </si>
  <si>
    <t>150×600×18</t>
  </si>
  <si>
    <t>822×150×18</t>
  </si>
  <si>
    <t>822×80×18</t>
  </si>
  <si>
    <t>2325×200×18</t>
  </si>
  <si>
    <t>2325×100×18</t>
  </si>
  <si>
    <t>2325×300×18</t>
  </si>
  <si>
    <t>597×399×18</t>
  </si>
  <si>
    <t>1662×399×18</t>
  </si>
  <si>
    <t>007阳台洗衣机柜-柜体-02    小计</t>
  </si>
  <si>
    <t>002主卧衣柜-柜体-01
1635×550×900</t>
  </si>
  <si>
    <t>1635×389×18</t>
  </si>
  <si>
    <t>180×50×18</t>
  </si>
  <si>
    <t>152×389×18</t>
  </si>
  <si>
    <t>464×177×18</t>
  </si>
  <si>
    <t>378×130×18</t>
  </si>
  <si>
    <t>350×130×18</t>
  </si>
  <si>
    <t>388×324×9</t>
  </si>
  <si>
    <t>465×177×18</t>
  </si>
  <si>
    <t>379×130×18</t>
  </si>
  <si>
    <t>389×324×9</t>
  </si>
  <si>
    <t>180×650×18</t>
  </si>
  <si>
    <t>762×1635×18</t>
  </si>
  <si>
    <t>1635×570×18</t>
  </si>
  <si>
    <t>120×1635×18</t>
  </si>
  <si>
    <t>002主卧衣柜-柜体-01    小计</t>
  </si>
  <si>
    <t>002主卧衣柜-柜体-02
442×580×2162</t>
  </si>
  <si>
    <t>2162×600×18</t>
  </si>
  <si>
    <t>2112×580×18</t>
  </si>
  <si>
    <t>388×60×18</t>
  </si>
  <si>
    <t>388×580×18</t>
  </si>
  <si>
    <t>421×379×18</t>
  </si>
  <si>
    <t>326×250×18</t>
  </si>
  <si>
    <t>500×250×18</t>
  </si>
  <si>
    <t>336×474×9</t>
  </si>
  <si>
    <t>388×551×18</t>
  </si>
  <si>
    <t>421×177×18</t>
  </si>
  <si>
    <t>326×130×18</t>
  </si>
  <si>
    <t>500×130×18</t>
  </si>
  <si>
    <t>685×398×9</t>
  </si>
  <si>
    <t>439×398×9</t>
  </si>
  <si>
    <t>388×575×18</t>
  </si>
  <si>
    <t>424×50×18</t>
  </si>
  <si>
    <t>424×80×18</t>
  </si>
  <si>
    <t>1387×421×18</t>
  </si>
  <si>
    <t>002主卧衣柜-柜体-02    小计</t>
  </si>
  <si>
    <t>002主卧衣柜-柜体-03
1272×580×2440</t>
  </si>
  <si>
    <t>2390×580×18</t>
  </si>
  <si>
    <t>1236×60×18</t>
  </si>
  <si>
    <t>踢脚加固条</t>
  </si>
  <si>
    <t>524×60×18</t>
  </si>
  <si>
    <t>1236×580×18</t>
  </si>
  <si>
    <t>685×831×9</t>
  </si>
  <si>
    <t>821×575×18</t>
  </si>
  <si>
    <t>1183×831×9</t>
  </si>
  <si>
    <t>821×80×18</t>
  </si>
  <si>
    <t>420×831×9</t>
  </si>
  <si>
    <t>2294×580×18</t>
  </si>
  <si>
    <t>685×407×9</t>
  </si>
  <si>
    <t>397×575×18</t>
  </si>
  <si>
    <t>389×407×9</t>
  </si>
  <si>
    <t>420×407×9</t>
  </si>
  <si>
    <t>1272×50×18</t>
  </si>
  <si>
    <t>1272×80×18</t>
  </si>
  <si>
    <t>1665×421×18</t>
  </si>
  <si>
    <t>739×421×18</t>
  </si>
  <si>
    <t>002主卧衣柜-柜体-03    小计</t>
  </si>
  <si>
    <t>002主卧衣柜-柜体-04
1024×580×2440</t>
  </si>
  <si>
    <t>988×60×18</t>
  </si>
  <si>
    <t>988×580×18</t>
  </si>
  <si>
    <t>2294×80×18</t>
  </si>
  <si>
    <t>762×100×18</t>
  </si>
  <si>
    <t>932×998×9</t>
  </si>
  <si>
    <t>988×80×18</t>
  </si>
  <si>
    <t>988×560×18</t>
  </si>
  <si>
    <t>2294×582×18</t>
  </si>
  <si>
    <t>936×998×9</t>
  </si>
  <si>
    <t>1678×100×18</t>
  </si>
  <si>
    <t>420×998×9</t>
  </si>
  <si>
    <t>1024×50×18</t>
  </si>
  <si>
    <t>1024×80×18</t>
  </si>
  <si>
    <t>002主卧衣柜-柜体-04    小计</t>
  </si>
  <si>
    <t>002主卧衣柜-备用-05
100×120×290</t>
  </si>
  <si>
    <t>辅板</t>
  </si>
  <si>
    <t>120×290×18</t>
  </si>
  <si>
    <t>100×2400×18</t>
  </si>
  <si>
    <t>002主卧衣柜-备用-05    小计</t>
  </si>
  <si>
    <t>003主卧衣柜CD面-柜体-01
1525×580×2440</t>
  </si>
  <si>
    <t>2440×50×18</t>
  </si>
  <si>
    <t>1439×60×18</t>
  </si>
  <si>
    <t>1439×580×18</t>
  </si>
  <si>
    <t>685×458×9</t>
  </si>
  <si>
    <t>448×580×18</t>
  </si>
  <si>
    <t>389×458×9</t>
  </si>
  <si>
    <t>448×575×18</t>
  </si>
  <si>
    <t>420×458×9</t>
  </si>
  <si>
    <t>425×471×18</t>
  </si>
  <si>
    <t>普通抽屉面板</t>
  </si>
  <si>
    <t>895×198.7×18</t>
  </si>
  <si>
    <t>839×160×18</t>
  </si>
  <si>
    <t>450×160×18</t>
  </si>
  <si>
    <t>849×442×9</t>
  </si>
  <si>
    <t>858×983×9</t>
  </si>
  <si>
    <t>973×500×18</t>
  </si>
  <si>
    <t>1010×983×9</t>
  </si>
  <si>
    <t>973×80×18</t>
  </si>
  <si>
    <t>973×575×18</t>
  </si>
  <si>
    <t>420×983×9</t>
  </si>
  <si>
    <t>1525×50×18</t>
  </si>
  <si>
    <t>1525×80×18</t>
  </si>
  <si>
    <t>2407×497×18</t>
  </si>
  <si>
    <t>1665×472×18</t>
  </si>
  <si>
    <t>739×472×18</t>
  </si>
  <si>
    <t>003主卧衣柜CD面-柜体-01    小计</t>
  </si>
  <si>
    <t>003主卧衣柜CD面-柜体-02
1075×580×2440</t>
  </si>
  <si>
    <t>1039×60×18</t>
  </si>
  <si>
    <t>1039×580×18</t>
  </si>
  <si>
    <t>2440×600×18</t>
  </si>
  <si>
    <t>1876×1049×9</t>
  </si>
  <si>
    <t>1039×80×18</t>
  </si>
  <si>
    <t>1039×575×18</t>
  </si>
  <si>
    <t>420×1049×9</t>
  </si>
  <si>
    <t>1075×50×18</t>
  </si>
  <si>
    <t>1075×80×18</t>
  </si>
  <si>
    <t>003主卧衣柜CD面-柜体-02    小计</t>
  </si>
  <si>
    <t>003主卧衣柜CD面-柜体-03
780×580×2440</t>
  </si>
  <si>
    <t>744×60×18</t>
  </si>
  <si>
    <t>744×580×18</t>
  </si>
  <si>
    <t>685×754×9</t>
  </si>
  <si>
    <t>1183×754×9</t>
  </si>
  <si>
    <t>744×80×18</t>
  </si>
  <si>
    <t>744×575×18</t>
  </si>
  <si>
    <t>420×754×9</t>
  </si>
  <si>
    <t>744×50×18</t>
  </si>
  <si>
    <t>739×369×18</t>
  </si>
  <si>
    <t>1665×369×18</t>
  </si>
  <si>
    <t>003主卧衣柜CD面-柜体-03    小计</t>
  </si>
  <si>
    <t>004书房D面-柜体-01
2505×295×2455</t>
  </si>
  <si>
    <t>2455×295×18</t>
  </si>
  <si>
    <t>2455×50×18</t>
  </si>
  <si>
    <t>2405×295×18</t>
  </si>
  <si>
    <t>400×60×18</t>
  </si>
  <si>
    <t>400×295×18</t>
  </si>
  <si>
    <t>438×410×9</t>
  </si>
  <si>
    <t>400×290×18</t>
  </si>
  <si>
    <t>486×410×9</t>
  </si>
  <si>
    <t>487×410×9</t>
  </si>
  <si>
    <t>2387×295×18</t>
  </si>
  <si>
    <t>1969×297×18</t>
  </si>
  <si>
    <t>1398×984×18</t>
  </si>
  <si>
    <t>1398×985×18</t>
  </si>
  <si>
    <t>1969×295×18</t>
  </si>
  <si>
    <t>321×985×9</t>
  </si>
  <si>
    <t>975×290×18</t>
  </si>
  <si>
    <t>323×985×9</t>
  </si>
  <si>
    <t>971×295×18</t>
  </si>
  <si>
    <t>321×986×9</t>
  </si>
  <si>
    <t>976×290×18</t>
  </si>
  <si>
    <t>323×986×9</t>
  </si>
  <si>
    <t>2487×50×18</t>
  </si>
  <si>
    <t>2487×80×18</t>
  </si>
  <si>
    <t>1035×489.25×18</t>
  </si>
  <si>
    <t>1035×433×18</t>
  </si>
  <si>
    <t>1384×433×18</t>
  </si>
  <si>
    <t>1384×489.25×18</t>
  </si>
  <si>
    <t>004书房D面-柜体-01    小计</t>
  </si>
  <si>
    <t>005书房A面-柜体-01
1655×530×2455</t>
  </si>
  <si>
    <t>2295×50×18</t>
  </si>
  <si>
    <t>2295×530×18</t>
  </si>
  <si>
    <t>1519×60×18</t>
  </si>
  <si>
    <t>474×60×18</t>
  </si>
  <si>
    <t>1519×530×18</t>
  </si>
  <si>
    <t>180×421×18</t>
  </si>
  <si>
    <t>421×174×18</t>
  </si>
  <si>
    <t>365×150×18</t>
  </si>
  <si>
    <t>400×150×18</t>
  </si>
  <si>
    <t>375×392×9</t>
  </si>
  <si>
    <t>768×473×9</t>
  </si>
  <si>
    <t>463×450×18</t>
  </si>
  <si>
    <t>915×473×9</t>
  </si>
  <si>
    <t>463×525×18</t>
  </si>
  <si>
    <t>510×473×9</t>
  </si>
  <si>
    <t>2199×530×18</t>
  </si>
  <si>
    <t>2199×80×18</t>
  </si>
  <si>
    <t>2295×625×18</t>
  </si>
  <si>
    <t>1691×1048×9</t>
  </si>
  <si>
    <t>1038×80×18</t>
  </si>
  <si>
    <t>1038×525×18</t>
  </si>
  <si>
    <t>510×1048×9</t>
  </si>
  <si>
    <t>1655×160×18</t>
  </si>
  <si>
    <t>1655×80×18</t>
  </si>
  <si>
    <t>2272×487×18</t>
  </si>
  <si>
    <t>005书房A面-柜体-01    小计</t>
  </si>
  <si>
    <t>005书房A面-柜体-02
2505×580×2455</t>
  </si>
  <si>
    <t>左侧板前封门板色</t>
  </si>
  <si>
    <t>762×600×18</t>
  </si>
  <si>
    <t>2469×542×18</t>
  </si>
  <si>
    <t>491×179×18</t>
  </si>
  <si>
    <t>423×140×18</t>
  </si>
  <si>
    <t>500×140×18</t>
  </si>
  <si>
    <t>433×492×9</t>
  </si>
  <si>
    <t>164×542×18</t>
  </si>
  <si>
    <t>414×140×18</t>
  </si>
  <si>
    <t>424×492×9</t>
  </si>
  <si>
    <t>490×179×18</t>
  </si>
  <si>
    <t>422×140×18</t>
  </si>
  <si>
    <t>432×492×9</t>
  </si>
  <si>
    <t>762×2469×18</t>
  </si>
  <si>
    <t>右侧板前封门板色</t>
  </si>
  <si>
    <t>2505×600×18</t>
  </si>
  <si>
    <t>1675×300×18</t>
  </si>
  <si>
    <t>600×2469×18</t>
  </si>
  <si>
    <t>2469×280×18</t>
  </si>
  <si>
    <t>326×815×9</t>
  </si>
  <si>
    <t>805×275×18</t>
  </si>
  <si>
    <t>331×815×9</t>
  </si>
  <si>
    <t>989×280×18</t>
  </si>
  <si>
    <t>326×833×9</t>
  </si>
  <si>
    <t>823×280×18</t>
  </si>
  <si>
    <t>823×275×18</t>
  </si>
  <si>
    <t>331×833×9</t>
  </si>
  <si>
    <t>2469×50×18</t>
  </si>
  <si>
    <t>2469×80×18</t>
  </si>
  <si>
    <t>1062×408.5×18</t>
  </si>
  <si>
    <t>728×408.5×18</t>
  </si>
  <si>
    <t>005书房A面-柜体-02    小计</t>
  </si>
  <si>
    <t>006电视柜-柜体-01
486×330×2420</t>
  </si>
  <si>
    <t>2420×350×18</t>
  </si>
  <si>
    <t>450×60×18</t>
  </si>
  <si>
    <t>450×330×18</t>
  </si>
  <si>
    <t>450×460×9</t>
  </si>
  <si>
    <t>450×325×18</t>
  </si>
  <si>
    <t>450×80×18</t>
  </si>
  <si>
    <t>452×460×9</t>
  </si>
  <si>
    <t>2387×445×18</t>
  </si>
  <si>
    <t>006电视柜-柜体-01    小计</t>
  </si>
  <si>
    <t>006电视柜-柜体-02
696×330×318</t>
  </si>
  <si>
    <t>300×330×18</t>
  </si>
  <si>
    <t>平拉条</t>
  </si>
  <si>
    <t>660×80×18</t>
  </si>
  <si>
    <t>660×330×18</t>
  </si>
  <si>
    <t>693×277×18</t>
  </si>
  <si>
    <t>598×220×18</t>
  </si>
  <si>
    <t>250×220×18</t>
  </si>
  <si>
    <t>608×224×9</t>
  </si>
  <si>
    <t>274×670×9</t>
  </si>
  <si>
    <t>696×350×18</t>
  </si>
  <si>
    <t>006电视柜-柜体-02    小计</t>
  </si>
  <si>
    <t>006电视柜-柜体-03
893×330×318</t>
  </si>
  <si>
    <t>857×80×18</t>
  </si>
  <si>
    <t>857×330×18</t>
  </si>
  <si>
    <t>264×857×18</t>
  </si>
  <si>
    <t>893×350×18</t>
  </si>
  <si>
    <t>下翻门</t>
  </si>
  <si>
    <t>277×890×18</t>
  </si>
  <si>
    <t>006电视柜-柜体-03    小计</t>
  </si>
  <si>
    <t>006电视柜-柜体-04
1411×330×318</t>
  </si>
  <si>
    <t>1375×80×18</t>
  </si>
  <si>
    <t>1375×330×18</t>
  </si>
  <si>
    <t>694×277×18</t>
  </si>
  <si>
    <t>608×220×18</t>
  </si>
  <si>
    <t>618×224×9</t>
  </si>
  <si>
    <t>274×680×9</t>
  </si>
  <si>
    <t>264×330×18</t>
  </si>
  <si>
    <t>625×220×18</t>
  </si>
  <si>
    <t>635×224×9</t>
  </si>
  <si>
    <t>274×697×9</t>
  </si>
  <si>
    <t>300×350×18</t>
  </si>
  <si>
    <t>1411×350×18</t>
  </si>
  <si>
    <t>006电视柜-柜体-04    小计</t>
  </si>
  <si>
    <t>板件清单</t>
  </si>
  <si>
    <t>柜体板件（含加工门板、抽面）</t>
  </si>
  <si>
    <t>面积（㎡）</t>
  </si>
  <si>
    <t>001鞋柜冰箱柜-柜体-01</t>
  </si>
  <si>
    <t>001鞋柜冰箱柜-柜体-04</t>
  </si>
  <si>
    <t>001鞋柜冰箱柜-柜体-05</t>
  </si>
  <si>
    <t>001鞋柜冰箱柜-柜体-06</t>
  </si>
  <si>
    <t>007阳台洗衣机柜-柜体-01</t>
  </si>
  <si>
    <t>007阳台洗衣机柜-柜体-02</t>
  </si>
  <si>
    <t>002主卧衣柜-柜体-01</t>
  </si>
  <si>
    <t>002主卧衣柜-柜体-03</t>
  </si>
  <si>
    <t>002主卧衣柜-柜体-04</t>
  </si>
  <si>
    <t>002主卧衣柜-备用-05</t>
  </si>
  <si>
    <t>003主卧衣柜CD面-柜体-02</t>
  </si>
  <si>
    <t>003主卧衣柜CD面-柜体-03</t>
  </si>
  <si>
    <t>004书房D面-柜体-01</t>
  </si>
  <si>
    <t>005书房A面-柜体-01</t>
  </si>
  <si>
    <t>005书房A面-柜体-02</t>
  </si>
  <si>
    <t>006电视柜-柜体-02</t>
  </si>
  <si>
    <t>006电视柜-柜体-03</t>
  </si>
  <si>
    <t>006电视柜-柜体-04</t>
  </si>
  <si>
    <t>门板、抽面（外协）</t>
  </si>
  <si>
    <t>五金</t>
  </si>
  <si>
    <t>门板清单</t>
  </si>
  <si>
    <t>门板、抽面（加工）</t>
  </si>
  <si>
    <t>尺寸(毫米)</t>
  </si>
  <si>
    <t>备注</t>
  </si>
  <si>
    <t>左开 @ 铰链孔位由下向上[100|97|100]</t>
  </si>
  <si>
    <t>右开 @ 铰链孔位由下向上[100|97|100]</t>
  </si>
  <si>
    <t>左开 @ 铰链孔位由下向上[100|657|100]</t>
  </si>
  <si>
    <t>右开 @ 铰链孔位由下向上[100|657|100]</t>
  </si>
  <si>
    <t>左开 @ 铰链孔位由下向上[100|644|100]</t>
  </si>
  <si>
    <t>右开 @ 铰链孔位由下向上[100|644|100]</t>
  </si>
  <si>
    <t>右开 @ 铰链孔位由下向上[100|545|545|545|552|100]</t>
  </si>
  <si>
    <t>左开 @ 铰链孔位由下向上[100|242|100]</t>
  </si>
  <si>
    <t>右开 @ 铰链孔位由下向上[100|242|100]</t>
  </si>
  <si>
    <t>左开 @ 铰链孔位由下向上[100|842|100]</t>
  </si>
  <si>
    <t>右开 @ 铰链孔位由下向上[100|842|100]</t>
  </si>
  <si>
    <t>左开 @ 铰链孔位由下向上[100|487|100]</t>
  </si>
  <si>
    <t>右开 @ 铰链孔位由下向上[100|487|100]</t>
  </si>
  <si>
    <t>右开 @ 铰链孔位由下向上[100|545|100]</t>
  </si>
  <si>
    <t>左开 @ 铰链孔位由下向上[100|397|100]</t>
  </si>
  <si>
    <t>右开 @ 铰链孔位由下向上[100|397|100]</t>
  </si>
  <si>
    <t>左开 @ 铰链孔位由下向上[100|508.5|461.5|492|100]</t>
  </si>
  <si>
    <t>右开 @ 铰链孔位由下向上[100|508.5|461.5|492|100]</t>
  </si>
  <si>
    <t>左开 @ 铰链孔位由下向上[100|590|597|100]</t>
  </si>
  <si>
    <t>左开 @ 铰链孔位由下向上[100|485|485|495|100]</t>
  </si>
  <si>
    <t>右开 @ 铰链孔位由下向上[100|485|485|495|100]</t>
  </si>
  <si>
    <t>左开 @ 铰链孔位由下向上[100|539|100]</t>
  </si>
  <si>
    <t>右开 @ 铰链孔位由下向上[100|539|100]</t>
  </si>
  <si>
    <t>左开 @ 铰链孔位由下向上[100|550|550|550|557|100]</t>
  </si>
  <si>
    <t>右开 @ 铰链孔位由下向上[100|550|550|550|557|100]</t>
  </si>
  <si>
    <t>左开 @ 铰链孔位由下向上[100|835|100]</t>
  </si>
  <si>
    <t>右开 @ 铰链孔位由下向上[100|835|100]</t>
  </si>
  <si>
    <t>左开 @ 铰链孔位由下向上[100|590|594|100]</t>
  </si>
  <si>
    <t>右开 @ 铰链孔位由下向上[100|590|594|100]</t>
  </si>
  <si>
    <t>左开 @ 铰链孔位由下向上[100|515|515|515|527|100]</t>
  </si>
  <si>
    <t>右开 @ 铰链孔位由下向上[100|515|515|515|527|100]</t>
  </si>
  <si>
    <t>左开 @ 铰链孔位由下向上[100|862|100]</t>
  </si>
  <si>
    <t>右开 @ 铰链孔位由下向上[100|862|100]</t>
  </si>
  <si>
    <t>左开 @ 铰链孔位由下向上[100|528|100]</t>
  </si>
  <si>
    <t>右开 @ 铰链孔位由下向上[100|528|100]</t>
  </si>
  <si>
    <t>左开 @ 铰链孔位由下向上[100|545|545|545|552|100]</t>
  </si>
  <si>
    <t>下翻 @ 铰链孔位从左到右[100|690|100]</t>
  </si>
  <si>
    <t>五金清单</t>
  </si>
  <si>
    <t>部件名称</t>
  </si>
  <si>
    <t>封边条清单（m）</t>
  </si>
  <si>
    <t>电话</t>
  </si>
  <si>
    <t>厚度</t>
  </si>
  <si>
    <t>长度</t>
  </si>
  <si>
    <t>001鞋柜冰箱柜-柜体-01厚封边</t>
  </si>
  <si>
    <t>001鞋柜冰箱柜-柜体-01薄封边</t>
  </si>
  <si>
    <t>001鞋柜冰箱柜-柜体-02厚封边</t>
  </si>
  <si>
    <t>001鞋柜冰箱柜-柜体-02薄封边</t>
  </si>
  <si>
    <t>001鞋柜冰箱柜-柜体-03厚封边</t>
  </si>
  <si>
    <t>001鞋柜冰箱柜-柜体-03薄封边</t>
  </si>
  <si>
    <t>001鞋柜冰箱柜-柜体-04薄封边</t>
  </si>
  <si>
    <t>001鞋柜冰箱柜-柜体-04厚封边</t>
  </si>
  <si>
    <t>001鞋柜冰箱柜-柜体-05薄封边</t>
  </si>
  <si>
    <t>001鞋柜冰箱柜-柜体-05厚封边</t>
  </si>
  <si>
    <t>001鞋柜冰箱柜-柜体-06厚封边</t>
  </si>
  <si>
    <t>001鞋柜冰箱柜-柜体-06薄封边</t>
  </si>
  <si>
    <t>007阳台洗衣机柜-柜体-01薄封边</t>
  </si>
  <si>
    <t>007阳台洗衣机柜-柜体-01厚封边</t>
  </si>
  <si>
    <t>007阳台洗衣机柜-柜体-02厚封边</t>
  </si>
  <si>
    <t>007阳台洗衣机柜-柜体-02薄封边</t>
  </si>
  <si>
    <t>002主卧衣柜-柜体-01厚封边</t>
  </si>
  <si>
    <t>002主卧衣柜-柜体-01薄封边</t>
  </si>
  <si>
    <t>002主卧衣柜-柜体-02厚封边</t>
  </si>
  <si>
    <t>002主卧衣柜-柜体-02薄封边</t>
  </si>
  <si>
    <t>002主卧衣柜-柜体-03厚封边</t>
  </si>
  <si>
    <t>002主卧衣柜-柜体-03薄封边</t>
  </si>
  <si>
    <t>002主卧衣柜-柜体-04厚封边</t>
  </si>
  <si>
    <t>002主卧衣柜-柜体-04薄封边</t>
  </si>
  <si>
    <t>002主卧衣柜-备用-05厚封边</t>
  </si>
  <si>
    <t>003主卧衣柜CD面-柜体-01薄封边</t>
  </si>
  <si>
    <t>003主卧衣柜CD面-柜体-01厚封边</t>
  </si>
  <si>
    <t>003主卧衣柜CD面-柜体-02厚封边</t>
  </si>
  <si>
    <t>003主卧衣柜CD面-柜体-02薄封边</t>
  </si>
  <si>
    <t>003主卧衣柜CD面-柜体-03厚封边</t>
  </si>
  <si>
    <t>003主卧衣柜CD面-柜体-03薄封边</t>
  </si>
  <si>
    <t>004书房D面-柜体-01厚封边</t>
  </si>
  <si>
    <t>004书房D面-柜体-01薄封边</t>
  </si>
  <si>
    <t>005书房A面-柜体-01薄封边</t>
  </si>
  <si>
    <t>005书房A面-柜体-01厚封边</t>
  </si>
  <si>
    <t>005书房A面-柜体-02厚封边</t>
  </si>
  <si>
    <t>005书房A面-柜体-02薄封边</t>
  </si>
  <si>
    <t>006电视柜-柜体-01厚封边</t>
  </si>
  <si>
    <t>006电视柜-柜体-01薄封边</t>
  </si>
  <si>
    <t>006电视柜-柜体-02厚封边</t>
  </si>
  <si>
    <t>006电视柜-柜体-02薄封边</t>
  </si>
  <si>
    <t>006电视柜-柜体-03厚封边</t>
  </si>
  <si>
    <t>006电视柜-柜体-03薄封边</t>
  </si>
  <si>
    <t>006电视柜-柜体-04厚封边</t>
  </si>
  <si>
    <t>006电视柜-柜体-04薄封边</t>
  </si>
  <si>
    <t>板件开料单</t>
  </si>
  <si>
    <t>开料净尺寸(mm)</t>
  </si>
  <si>
    <t>厚边</t>
  </si>
  <si>
    <t>薄边</t>
  </si>
  <si>
    <t>无</t>
  </si>
  <si>
    <t>1L</t>
  </si>
  <si>
    <t>1L2S</t>
  </si>
  <si>
    <t>1S</t>
  </si>
  <si>
    <t>2L1S</t>
  </si>
  <si>
    <t>18mm 大王椰(DWYNY-25)   合计</t>
  </si>
  <si>
    <t>18mm 大王椰(DWYNY-09)   合计</t>
  </si>
  <si>
    <t>9mm 大王椰(DWYNY-25)   合计</t>
  </si>
  <si>
    <t>顶线、罗马柱（mm）</t>
  </si>
  <si>
    <t>顶线</t>
  </si>
  <si>
    <t>名称/型号</t>
  </si>
  <si>
    <t>高度</t>
  </si>
  <si>
    <t>宽度</t>
  </si>
  <si>
    <t>两端角度</t>
  </si>
  <si>
    <t>切角示意图</t>
  </si>
  <si>
    <t>罗马柱</t>
  </si>
  <si>
    <t>示意图</t>
  </si>
  <si>
    <t>大板预估用量</t>
  </si>
  <si>
    <t>板材名称</t>
  </si>
  <si>
    <t>板材编号</t>
  </si>
  <si>
    <t>规格尺寸（mm）</t>
  </si>
  <si>
    <t>数量
（块）</t>
  </si>
  <si>
    <t>备注
（计算数）</t>
  </si>
  <si>
    <t>门板、抽屉面板（外协）</t>
  </si>
  <si>
    <t>顶线、罗马柱（m）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</si>
</sst>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0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b/>
      <sz val="20"/>
      <name val="宋体"/>
      <charset val="134"/>
    </font>
    <font>
      <b/>
      <sz val="24"/>
      <name val="宋体"/>
      <charset val="134"/>
    </font>
    <font>
      <sz val="8"/>
      <name val="宋体"/>
      <charset val="134"/>
    </font>
    <font>
      <sz val="8"/>
      <color rgb="FFFF0000"/>
      <name val="宋体"/>
      <charset val="134"/>
    </font>
    <font>
      <b/>
      <sz val="8"/>
      <name val="宋体"/>
      <charset val="134"/>
    </font>
    <font>
      <sz val="8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5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6" applyNumberFormat="0" applyFill="0" applyAlignment="0" applyProtection="0">
      <alignment vertical="center"/>
    </xf>
    <xf numFmtId="0" fontId="25" fillId="0" borderId="56" applyNumberFormat="0" applyFill="0" applyAlignment="0" applyProtection="0">
      <alignment vertical="center"/>
    </xf>
    <xf numFmtId="0" fontId="26" fillId="0" borderId="5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58" applyNumberFormat="0" applyAlignment="0" applyProtection="0">
      <alignment vertical="center"/>
    </xf>
    <xf numFmtId="0" fontId="28" fillId="8" borderId="59" applyNumberFormat="0" applyAlignment="0" applyProtection="0">
      <alignment vertical="center"/>
    </xf>
    <xf numFmtId="0" fontId="29" fillId="8" borderId="58" applyNumberFormat="0" applyAlignment="0" applyProtection="0">
      <alignment vertical="center"/>
    </xf>
    <xf numFmtId="0" fontId="30" fillId="9" borderId="60" applyNumberFormat="0" applyAlignment="0" applyProtection="0">
      <alignment vertical="center"/>
    </xf>
    <xf numFmtId="0" fontId="31" fillId="0" borderId="61" applyNumberFormat="0" applyFill="0" applyAlignment="0" applyProtection="0">
      <alignment vertical="center"/>
    </xf>
    <xf numFmtId="0" fontId="32" fillId="0" borderId="6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</cellStyleXfs>
  <cellXfs count="252">
    <xf numFmtId="0" fontId="0" fillId="0" borderId="0" xfId="0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left" vertical="center"/>
    </xf>
    <xf numFmtId="0" fontId="3" fillId="2" borderId="5" xfId="0" applyNumberFormat="1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left" vertical="center"/>
    </xf>
    <xf numFmtId="0" fontId="3" fillId="2" borderId="16" xfId="0" applyNumberFormat="1" applyFont="1" applyFill="1" applyBorder="1" applyAlignment="1">
      <alignment horizontal="left" vertical="center"/>
    </xf>
    <xf numFmtId="0" fontId="2" fillId="2" borderId="14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center" vertical="center"/>
    </xf>
    <xf numFmtId="0" fontId="4" fillId="2" borderId="20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2" xfId="0" applyNumberFormat="1" applyFont="1" applyFill="1" applyBorder="1" applyAlignment="1">
      <alignment horizontal="center" vertical="center"/>
    </xf>
    <xf numFmtId="0" fontId="2" fillId="2" borderId="19" xfId="0" applyNumberFormat="1" applyFont="1" applyFill="1" applyBorder="1" applyAlignment="1">
      <alignment horizontal="center" vertical="center"/>
    </xf>
    <xf numFmtId="0" fontId="2" fillId="2" borderId="20" xfId="0" applyNumberFormat="1" applyFont="1" applyFill="1" applyBorder="1" applyAlignment="1">
      <alignment horizontal="center" vertical="center"/>
    </xf>
    <xf numFmtId="0" fontId="3" fillId="2" borderId="20" xfId="0" applyNumberFormat="1" applyFont="1" applyFill="1" applyBorder="1" applyAlignment="1">
      <alignment horizontal="left" vertical="center"/>
    </xf>
    <xf numFmtId="0" fontId="3" fillId="2" borderId="22" xfId="0" applyNumberFormat="1" applyFont="1" applyFill="1" applyBorder="1" applyAlignment="1">
      <alignment horizontal="center" vertical="center"/>
    </xf>
    <xf numFmtId="0" fontId="2" fillId="2" borderId="23" xfId="0" applyNumberFormat="1" applyFont="1" applyFill="1" applyBorder="1" applyAlignment="1">
      <alignment horizontal="center" vertical="center"/>
    </xf>
    <xf numFmtId="0" fontId="2" fillId="2" borderId="24" xfId="0" applyNumberFormat="1" applyFont="1" applyFill="1" applyBorder="1" applyAlignment="1">
      <alignment horizontal="center" vertical="center"/>
    </xf>
    <xf numFmtId="0" fontId="2" fillId="2" borderId="25" xfId="0" applyNumberFormat="1" applyFont="1" applyFill="1" applyBorder="1" applyAlignment="1">
      <alignment horizontal="center" vertical="center"/>
    </xf>
    <xf numFmtId="0" fontId="2" fillId="2" borderId="26" xfId="0" applyNumberFormat="1" applyFont="1" applyFill="1" applyBorder="1" applyAlignment="1">
      <alignment horizontal="center" vertical="center"/>
    </xf>
    <xf numFmtId="0" fontId="2" fillId="2" borderId="27" xfId="0" applyNumberFormat="1" applyFont="1" applyFill="1" applyBorder="1" applyAlignment="1">
      <alignment horizontal="center" vertical="center"/>
    </xf>
    <xf numFmtId="0" fontId="3" fillId="0" borderId="28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>
      <alignment vertical="center"/>
    </xf>
    <xf numFmtId="0" fontId="3" fillId="0" borderId="29" xfId="0" applyNumberFormat="1" applyFont="1" applyFill="1" applyBorder="1" applyAlignment="1">
      <alignment horizontal="center" vertical="center"/>
    </xf>
    <xf numFmtId="0" fontId="1" fillId="2" borderId="30" xfId="0" applyNumberFormat="1" applyFont="1" applyFill="1" applyBorder="1" applyAlignment="1">
      <alignment horizontal="center" vertical="center"/>
    </xf>
    <xf numFmtId="0" fontId="1" fillId="2" borderId="31" xfId="0" applyNumberFormat="1" applyFont="1" applyFill="1" applyBorder="1" applyAlignment="1">
      <alignment horizontal="center" vertical="center"/>
    </xf>
    <xf numFmtId="0" fontId="2" fillId="2" borderId="32" xfId="0" applyNumberFormat="1" applyFont="1" applyFill="1" applyBorder="1" applyAlignment="1">
      <alignment horizontal="center" vertical="center"/>
    </xf>
    <xf numFmtId="0" fontId="2" fillId="2" borderId="33" xfId="0" applyNumberFormat="1" applyFont="1" applyFill="1" applyBorder="1" applyAlignment="1">
      <alignment horizontal="center" vertical="center"/>
    </xf>
    <xf numFmtId="0" fontId="2" fillId="2" borderId="34" xfId="0" applyNumberFormat="1" applyFont="1" applyFill="1" applyBorder="1" applyAlignment="1">
      <alignment horizontal="center" vertical="center"/>
    </xf>
    <xf numFmtId="0" fontId="2" fillId="2" borderId="35" xfId="0" applyNumberFormat="1" applyFont="1" applyFill="1" applyBorder="1" applyAlignment="1">
      <alignment horizontal="center" vertical="center"/>
    </xf>
    <xf numFmtId="0" fontId="1" fillId="2" borderId="36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8" xfId="0" applyNumberFormat="1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horizontal="center" vertical="center"/>
    </xf>
    <xf numFmtId="0" fontId="2" fillId="2" borderId="38" xfId="0" applyNumberFormat="1" applyFont="1" applyFill="1" applyBorder="1" applyAlignment="1">
      <alignment horizontal="center" vertical="center"/>
    </xf>
    <xf numFmtId="0" fontId="2" fillId="2" borderId="39" xfId="0" applyNumberFormat="1" applyFont="1" applyFill="1" applyBorder="1" applyAlignment="1">
      <alignment horizontal="center" vertical="center"/>
    </xf>
    <xf numFmtId="0" fontId="1" fillId="2" borderId="22" xfId="0" applyNumberFormat="1" applyFont="1" applyFill="1" applyBorder="1" applyAlignment="1">
      <alignment horizontal="center" vertical="center"/>
    </xf>
    <xf numFmtId="0" fontId="2" fillId="2" borderId="17" xfId="0" applyNumberFormat="1" applyFont="1" applyFill="1" applyBorder="1" applyAlignment="1">
      <alignment horizontal="center" vertical="center"/>
    </xf>
    <xf numFmtId="0" fontId="2" fillId="2" borderId="38" xfId="0" applyNumberFormat="1" applyFont="1" applyFill="1" applyBorder="1">
      <alignment vertical="center"/>
    </xf>
    <xf numFmtId="0" fontId="2" fillId="2" borderId="4" xfId="0" applyNumberFormat="1" applyFont="1" applyFill="1" applyBorder="1" applyAlignment="1">
      <alignment horizontal="left" vertical="center"/>
    </xf>
    <xf numFmtId="0" fontId="2" fillId="2" borderId="5" xfId="0" applyNumberFormat="1" applyFont="1" applyFill="1" applyBorder="1" applyAlignment="1">
      <alignment horizontal="left" vertical="center"/>
    </xf>
    <xf numFmtId="0" fontId="2" fillId="2" borderId="39" xfId="0" applyNumberFormat="1" applyFont="1" applyFill="1" applyBorder="1">
      <alignment vertical="center"/>
    </xf>
    <xf numFmtId="0" fontId="2" fillId="2" borderId="15" xfId="0" applyNumberFormat="1" applyFont="1" applyFill="1" applyBorder="1" applyAlignment="1">
      <alignment horizontal="left" vertical="center"/>
    </xf>
    <xf numFmtId="0" fontId="2" fillId="2" borderId="28" xfId="0" applyNumberFormat="1" applyFont="1" applyFill="1" applyBorder="1" applyAlignment="1">
      <alignment horizontal="center" vertical="center"/>
    </xf>
    <xf numFmtId="0" fontId="2" fillId="2" borderId="11" xfId="0" applyNumberFormat="1" applyFont="1" applyFill="1" applyBorder="1" applyAlignment="1">
      <alignment horizontal="center" vertical="center"/>
    </xf>
    <xf numFmtId="0" fontId="1" fillId="2" borderId="38" xfId="0" applyNumberFormat="1" applyFont="1" applyFill="1" applyBorder="1" applyAlignment="1">
      <alignment horizontal="center" vertical="center"/>
    </xf>
    <xf numFmtId="0" fontId="1" fillId="2" borderId="39" xfId="0" applyNumberFormat="1" applyFont="1" applyFill="1" applyBorder="1" applyAlignment="1">
      <alignment horizontal="center" vertical="center"/>
    </xf>
    <xf numFmtId="0" fontId="2" fillId="2" borderId="40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41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29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>
      <alignment horizontal="center" vertical="center"/>
    </xf>
    <xf numFmtId="0" fontId="3" fillId="0" borderId="41" xfId="0" applyNumberFormat="1" applyFont="1" applyFill="1" applyBorder="1" applyAlignment="1">
      <alignment horizontal="center" vertical="center"/>
    </xf>
    <xf numFmtId="0" fontId="2" fillId="2" borderId="16" xfId="0" applyNumberFormat="1" applyFont="1" applyFill="1" applyBorder="1" applyAlignment="1">
      <alignment horizontal="left" vertical="center"/>
    </xf>
    <xf numFmtId="0" fontId="1" fillId="2" borderId="42" xfId="0" applyNumberFormat="1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>
      <alignment vertical="center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3" fillId="2" borderId="39" xfId="0" applyNumberFormat="1" applyFont="1" applyFill="1" applyBorder="1" applyAlignment="1">
      <alignment horizontal="left" vertical="center"/>
    </xf>
    <xf numFmtId="0" fontId="2" fillId="2" borderId="28" xfId="0" applyNumberFormat="1" applyFont="1" applyFill="1" applyBorder="1">
      <alignment vertical="center"/>
    </xf>
    <xf numFmtId="0" fontId="3" fillId="2" borderId="11" xfId="0" applyNumberFormat="1" applyFont="1" applyFill="1" applyBorder="1" applyAlignment="1">
      <alignment horizontal="left" vertical="center"/>
    </xf>
    <xf numFmtId="0" fontId="2" fillId="2" borderId="11" xfId="0" applyNumberFormat="1" applyFont="1" applyFill="1" applyBorder="1">
      <alignment vertical="center"/>
    </xf>
    <xf numFmtId="0" fontId="3" fillId="2" borderId="12" xfId="0" applyNumberFormat="1" applyFont="1" applyFill="1" applyBorder="1" applyAlignment="1">
      <alignment horizontal="left" vertical="center"/>
    </xf>
    <xf numFmtId="0" fontId="3" fillId="2" borderId="13" xfId="0" applyNumberFormat="1" applyFont="1" applyFill="1" applyBorder="1" applyAlignment="1">
      <alignment horizontal="left" vertical="center"/>
    </xf>
    <xf numFmtId="0" fontId="2" fillId="2" borderId="23" xfId="0" applyNumberFormat="1" applyFont="1" applyFill="1" applyBorder="1">
      <alignment vertical="center"/>
    </xf>
    <xf numFmtId="0" fontId="3" fillId="2" borderId="24" xfId="0" applyNumberFormat="1" applyFont="1" applyFill="1" applyBorder="1" applyAlignment="1">
      <alignment horizontal="left" vertical="center"/>
    </xf>
    <xf numFmtId="0" fontId="2" fillId="2" borderId="24" xfId="0" applyNumberFormat="1" applyFont="1" applyFill="1" applyBorder="1">
      <alignment vertical="center"/>
    </xf>
    <xf numFmtId="0" fontId="3" fillId="2" borderId="25" xfId="0" applyNumberFormat="1" applyFont="1" applyFill="1" applyBorder="1" applyAlignment="1">
      <alignment horizontal="left" vertical="center"/>
    </xf>
    <xf numFmtId="0" fontId="3" fillId="2" borderId="26" xfId="0" applyNumberFormat="1" applyFont="1" applyFill="1" applyBorder="1" applyAlignment="1">
      <alignment horizontal="left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3" fillId="2" borderId="29" xfId="0" applyNumberFormat="1" applyFont="1" applyFill="1" applyBorder="1" applyAlignment="1">
      <alignment horizontal="left" vertical="center"/>
    </xf>
    <xf numFmtId="0" fontId="3" fillId="2" borderId="43" xfId="0" applyNumberFormat="1" applyFont="1" applyFill="1" applyBorder="1" applyAlignment="1">
      <alignment horizontal="left" vertical="center"/>
    </xf>
    <xf numFmtId="0" fontId="3" fillId="2" borderId="40" xfId="0" applyNumberFormat="1" applyFont="1" applyFill="1" applyBorder="1" applyAlignment="1">
      <alignment horizontal="left" vertical="center"/>
    </xf>
    <xf numFmtId="0" fontId="3" fillId="2" borderId="44" xfId="0" applyNumberFormat="1" applyFont="1" applyFill="1" applyBorder="1" applyAlignment="1">
      <alignment horizontal="left" vertical="center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2" fillId="2" borderId="45" xfId="0" applyNumberFormat="1" applyFont="1" applyFill="1" applyBorder="1" applyAlignment="1">
      <alignment horizontal="center" vertical="center"/>
    </xf>
    <xf numFmtId="0" fontId="3" fillId="2" borderId="46" xfId="0" applyNumberFormat="1" applyFont="1" applyFill="1" applyBorder="1" applyAlignment="1">
      <alignment horizontal="left" vertical="center"/>
    </xf>
    <xf numFmtId="0" fontId="3" fillId="2" borderId="47" xfId="0" applyNumberFormat="1" applyFont="1" applyFill="1" applyBorder="1" applyAlignment="1">
      <alignment horizontal="left" vertical="center"/>
    </xf>
    <xf numFmtId="0" fontId="2" fillId="2" borderId="48" xfId="0" applyNumberFormat="1" applyFont="1" applyFill="1" applyBorder="1">
      <alignment vertical="center"/>
    </xf>
    <xf numFmtId="0" fontId="3" fillId="2" borderId="49" xfId="0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0" fontId="3" fillId="2" borderId="42" xfId="0" applyNumberFormat="1" applyFont="1" applyFill="1" applyBorder="1" applyAlignment="1">
      <alignment horizontal="left" vertical="center"/>
    </xf>
    <xf numFmtId="0" fontId="3" fillId="2" borderId="18" xfId="0" applyNumberFormat="1" applyFont="1" applyFill="1" applyBorder="1" applyAlignment="1">
      <alignment horizontal="left" vertical="center"/>
    </xf>
    <xf numFmtId="0" fontId="3" fillId="2" borderId="48" xfId="0" applyNumberFormat="1" applyFont="1" applyFill="1" applyBorder="1" applyAlignment="1">
      <alignment horizontal="left" vertical="center"/>
    </xf>
    <xf numFmtId="0" fontId="3" fillId="2" borderId="50" xfId="0" applyNumberFormat="1" applyFont="1" applyFill="1" applyBorder="1" applyAlignment="1">
      <alignment horizontal="left" vertical="center"/>
    </xf>
    <xf numFmtId="0" fontId="6" fillId="0" borderId="0" xfId="51" applyNumberFormat="1" applyFont="1" applyFill="1" applyBorder="1" applyAlignment="1">
      <alignment horizontal="center" vertical="center"/>
    </xf>
    <xf numFmtId="0" fontId="6" fillId="0" borderId="0" xfId="51" applyNumberFormat="1" applyFont="1" applyFill="1" applyBorder="1">
      <alignment vertical="center"/>
    </xf>
    <xf numFmtId="176" fontId="6" fillId="0" borderId="0" xfId="51" applyNumberFormat="1" applyFont="1" applyFill="1" applyBorder="1" applyAlignment="1">
      <alignment horizontal="center" vertical="center"/>
    </xf>
    <xf numFmtId="0" fontId="7" fillId="2" borderId="51" xfId="51" applyNumberFormat="1" applyFont="1" applyFill="1" applyBorder="1" applyAlignment="1">
      <alignment horizontal="center" vertical="center"/>
    </xf>
    <xf numFmtId="0" fontId="8" fillId="2" borderId="51" xfId="51" applyNumberFormat="1" applyFont="1" applyFill="1" applyBorder="1" applyAlignment="1">
      <alignment horizontal="center" vertical="center"/>
    </xf>
    <xf numFmtId="0" fontId="9" fillId="2" borderId="39" xfId="51" applyNumberFormat="1" applyFont="1" applyFill="1" applyBorder="1" applyAlignment="1">
      <alignment horizontal="left" vertical="center"/>
    </xf>
    <xf numFmtId="0" fontId="2" fillId="2" borderId="39" xfId="0" applyNumberFormat="1" applyFont="1" applyFill="1" applyBorder="1" applyAlignment="1">
      <alignment horizontal="left" vertical="center"/>
    </xf>
    <xf numFmtId="0" fontId="9" fillId="2" borderId="39" xfId="51" applyNumberFormat="1" applyFont="1" applyFill="1" applyBorder="1">
      <alignment vertical="center"/>
    </xf>
    <xf numFmtId="0" fontId="9" fillId="2" borderId="11" xfId="51" applyNumberFormat="1" applyFont="1" applyFill="1" applyBorder="1" applyAlignment="1">
      <alignment horizontal="left" vertical="center"/>
    </xf>
    <xf numFmtId="0" fontId="10" fillId="2" borderId="11" xfId="51" applyNumberFormat="1" applyFont="1" applyFill="1" applyBorder="1">
      <alignment vertical="center"/>
    </xf>
    <xf numFmtId="0" fontId="2" fillId="2" borderId="11" xfId="0" applyNumberFormat="1" applyFont="1" applyFill="1" applyBorder="1" applyAlignment="1">
      <alignment horizontal="left" vertical="center"/>
    </xf>
    <xf numFmtId="0" fontId="9" fillId="2" borderId="24" xfId="51" applyNumberFormat="1" applyFont="1" applyFill="1" applyBorder="1" applyAlignment="1">
      <alignment horizontal="left" vertical="center"/>
    </xf>
    <xf numFmtId="0" fontId="2" fillId="2" borderId="24" xfId="0" applyNumberFormat="1" applyFont="1" applyFill="1" applyBorder="1" applyAlignment="1">
      <alignment horizontal="left" vertical="center"/>
    </xf>
    <xf numFmtId="0" fontId="10" fillId="2" borderId="24" xfId="51" applyNumberFormat="1" applyFont="1" applyFill="1" applyBorder="1">
      <alignment vertical="center"/>
    </xf>
    <xf numFmtId="0" fontId="11" fillId="2" borderId="3" xfId="52" applyNumberFormat="1" applyFont="1" applyFill="1" applyBorder="1" applyAlignment="1">
      <alignment horizontal="center" vertical="center"/>
    </xf>
    <xf numFmtId="0" fontId="11" fillId="2" borderId="6" xfId="52" applyNumberFormat="1" applyFont="1" applyFill="1" applyBorder="1" applyAlignment="1">
      <alignment horizontal="center" vertical="center"/>
    </xf>
    <xf numFmtId="0" fontId="11" fillId="2" borderId="6" xfId="51" applyNumberFormat="1" applyFont="1" applyFill="1" applyBorder="1" applyAlignment="1">
      <alignment horizontal="center" vertical="center"/>
    </xf>
    <xf numFmtId="0" fontId="11" fillId="2" borderId="23" xfId="52" applyNumberFormat="1" applyFont="1" applyFill="1" applyBorder="1" applyAlignment="1">
      <alignment horizontal="center" vertical="center"/>
    </xf>
    <xf numFmtId="0" fontId="11" fillId="2" borderId="24" xfId="52" applyNumberFormat="1" applyFont="1" applyFill="1" applyBorder="1" applyAlignment="1">
      <alignment horizontal="center" vertical="center"/>
    </xf>
    <xf numFmtId="0" fontId="9" fillId="0" borderId="38" xfId="51" applyNumberFormat="1" applyFont="1" applyFill="1" applyBorder="1" applyAlignment="1">
      <alignment horizontal="center" vertical="center"/>
    </xf>
    <xf numFmtId="0" fontId="9" fillId="0" borderId="39" xfId="51" applyNumberFormat="1" applyFont="1" applyFill="1" applyBorder="1">
      <alignment vertical="center"/>
    </xf>
    <xf numFmtId="176" fontId="9" fillId="0" borderId="39" xfId="51" applyNumberFormat="1" applyFont="1" applyFill="1" applyBorder="1" applyAlignment="1">
      <alignment horizontal="center" vertical="center"/>
    </xf>
    <xf numFmtId="0" fontId="9" fillId="0" borderId="39" xfId="51" applyNumberFormat="1" applyFont="1" applyFill="1" applyBorder="1" applyAlignment="1">
      <alignment horizontal="center" vertical="center"/>
    </xf>
    <xf numFmtId="0" fontId="9" fillId="0" borderId="28" xfId="51" applyNumberFormat="1" applyFont="1" applyFill="1" applyBorder="1" applyAlignment="1">
      <alignment horizontal="center" vertical="center"/>
    </xf>
    <xf numFmtId="0" fontId="9" fillId="0" borderId="11" xfId="51" applyNumberFormat="1" applyFont="1" applyFill="1" applyBorder="1">
      <alignment vertical="center"/>
    </xf>
    <xf numFmtId="176" fontId="9" fillId="0" borderId="11" xfId="51" applyNumberFormat="1" applyFont="1" applyFill="1" applyBorder="1" applyAlignment="1">
      <alignment horizontal="center" vertical="center"/>
    </xf>
    <xf numFmtId="0" fontId="9" fillId="0" borderId="11" xfId="51" applyNumberFormat="1" applyFont="1" applyFill="1" applyBorder="1" applyAlignment="1">
      <alignment horizontal="center" vertical="center"/>
    </xf>
    <xf numFmtId="0" fontId="11" fillId="3" borderId="23" xfId="51" applyNumberFormat="1" applyFont="1" applyFill="1" applyBorder="1" applyAlignment="1">
      <alignment horizontal="right" vertical="center"/>
    </xf>
    <xf numFmtId="0" fontId="11" fillId="3" borderId="24" xfId="51" applyNumberFormat="1" applyFont="1" applyFill="1" applyBorder="1">
      <alignment vertical="center"/>
    </xf>
    <xf numFmtId="176" fontId="11" fillId="3" borderId="24" xfId="51" applyNumberFormat="1" applyFont="1" applyFill="1" applyBorder="1" applyAlignment="1">
      <alignment horizontal="center" vertical="center"/>
    </xf>
    <xf numFmtId="0" fontId="11" fillId="3" borderId="24" xfId="51" applyNumberFormat="1" applyFont="1" applyFill="1" applyBorder="1" applyAlignment="1">
      <alignment horizontal="center" vertical="center"/>
    </xf>
    <xf numFmtId="0" fontId="9" fillId="2" borderId="42" xfId="51" applyNumberFormat="1" applyFont="1" applyFill="1" applyBorder="1" applyAlignment="1">
      <alignment horizontal="left" vertical="center"/>
    </xf>
    <xf numFmtId="0" fontId="9" fillId="2" borderId="18" xfId="51" applyNumberFormat="1" applyFont="1" applyFill="1" applyBorder="1" applyAlignment="1">
      <alignment horizontal="left" vertical="center"/>
    </xf>
    <xf numFmtId="0" fontId="9" fillId="2" borderId="27" xfId="51" applyNumberFormat="1" applyFont="1" applyFill="1" applyBorder="1" applyAlignment="1">
      <alignment horizontal="left" vertical="center"/>
    </xf>
    <xf numFmtId="0" fontId="11" fillId="2" borderId="17" xfId="52" applyNumberFormat="1" applyFont="1" applyFill="1" applyBorder="1" applyAlignment="1">
      <alignment horizontal="center" vertical="center"/>
    </xf>
    <xf numFmtId="0" fontId="11" fillId="2" borderId="24" xfId="51" applyNumberFormat="1" applyFont="1" applyFill="1" applyBorder="1" applyAlignment="1">
      <alignment horizontal="center" vertical="center"/>
    </xf>
    <xf numFmtId="0" fontId="11" fillId="2" borderId="27" xfId="52" applyNumberFormat="1" applyFont="1" applyFill="1" applyBorder="1" applyAlignment="1">
      <alignment horizontal="center" vertical="center"/>
    </xf>
    <xf numFmtId="0" fontId="9" fillId="0" borderId="42" xfId="51" applyNumberFormat="1" applyFont="1" applyFill="1" applyBorder="1" applyAlignment="1">
      <alignment horizontal="center" vertical="center"/>
    </xf>
    <xf numFmtId="0" fontId="9" fillId="0" borderId="18" xfId="51" applyNumberFormat="1" applyFont="1" applyFill="1" applyBorder="1" applyAlignment="1">
      <alignment horizontal="center" vertical="center"/>
    </xf>
    <xf numFmtId="0" fontId="11" fillId="3" borderId="27" xfId="51" applyNumberFormat="1" applyFont="1" applyFill="1" applyBorder="1" applyAlignment="1">
      <alignment horizontal="center" vertical="center"/>
    </xf>
    <xf numFmtId="0" fontId="4" fillId="2" borderId="30" xfId="0" applyNumberFormat="1" applyFont="1" applyFill="1" applyBorder="1" applyAlignment="1">
      <alignment horizontal="center" vertical="center"/>
    </xf>
    <xf numFmtId="0" fontId="4" fillId="2" borderId="31" xfId="0" applyNumberFormat="1" applyFont="1" applyFill="1" applyBorder="1" applyAlignment="1">
      <alignment horizontal="center" vertical="center"/>
    </xf>
    <xf numFmtId="0" fontId="4" fillId="2" borderId="36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>
      <alignment vertical="center"/>
    </xf>
    <xf numFmtId="0" fontId="2" fillId="2" borderId="12" xfId="0" applyNumberFormat="1" applyFont="1" applyFill="1" applyBorder="1">
      <alignment vertical="center"/>
    </xf>
    <xf numFmtId="0" fontId="2" fillId="2" borderId="48" xfId="0" applyNumberFormat="1" applyFont="1" applyFill="1" applyBorder="1" applyAlignment="1">
      <alignment horizontal="left" vertical="center"/>
    </xf>
    <xf numFmtId="0" fontId="2" fillId="2" borderId="46" xfId="0" applyNumberFormat="1" applyFont="1" applyFill="1" applyBorder="1">
      <alignment vertical="center"/>
    </xf>
    <xf numFmtId="0" fontId="2" fillId="2" borderId="31" xfId="0" applyNumberFormat="1" applyFont="1" applyFill="1" applyBorder="1" applyAlignment="1">
      <alignment horizontal="center" vertical="center"/>
    </xf>
    <xf numFmtId="0" fontId="12" fillId="0" borderId="38" xfId="0" applyNumberFormat="1" applyFont="1" applyFill="1" applyBorder="1" applyAlignment="1">
      <alignment horizontal="center" vertical="center"/>
    </xf>
    <xf numFmtId="0" fontId="12" fillId="0" borderId="39" xfId="0" applyNumberFormat="1" applyFont="1" applyFill="1" applyBorder="1">
      <alignment vertical="center"/>
    </xf>
    <xf numFmtId="0" fontId="12" fillId="0" borderId="39" xfId="0" applyNumberFormat="1" applyFont="1" applyFill="1" applyBorder="1" applyAlignment="1">
      <alignment horizontal="center" vertical="center"/>
    </xf>
    <xf numFmtId="0" fontId="12" fillId="0" borderId="39" xfId="0" applyNumberFormat="1" applyFont="1" applyFill="1" applyBorder="1" applyAlignment="1">
      <alignment horizontal="left" vertical="center"/>
    </xf>
    <xf numFmtId="0" fontId="12" fillId="0" borderId="42" xfId="0" applyNumberFormat="1" applyFont="1" applyFill="1" applyBorder="1" applyAlignment="1">
      <alignment horizontal="center" vertical="center"/>
    </xf>
    <xf numFmtId="0" fontId="12" fillId="0" borderId="28" xfId="0" applyNumberFormat="1" applyFont="1" applyFill="1" applyBorder="1" applyAlignment="1">
      <alignment horizontal="center" vertical="center"/>
    </xf>
    <xf numFmtId="0" fontId="12" fillId="0" borderId="11" xfId="0" applyNumberFormat="1" applyFont="1" applyFill="1" applyBorder="1">
      <alignment vertical="center"/>
    </xf>
    <xf numFmtId="0" fontId="12" fillId="0" borderId="11" xfId="0" applyNumberFormat="1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left" vertical="center"/>
    </xf>
    <xf numFmtId="0" fontId="12" fillId="0" borderId="18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4" borderId="23" xfId="0" applyNumberFormat="1" applyFont="1" applyFill="1" applyBorder="1" applyAlignment="1">
      <alignment horizontal="center" vertical="center"/>
    </xf>
    <xf numFmtId="0" fontId="14" fillId="4" borderId="24" xfId="0" applyNumberFormat="1" applyFont="1" applyFill="1" applyBorder="1">
      <alignment vertical="center"/>
    </xf>
    <xf numFmtId="0" fontId="14" fillId="4" borderId="24" xfId="0" applyNumberFormat="1" applyFont="1" applyFill="1" applyBorder="1" applyAlignment="1">
      <alignment horizontal="center" vertical="center"/>
    </xf>
    <xf numFmtId="0" fontId="14" fillId="4" borderId="27" xfId="0" applyNumberFormat="1" applyFont="1" applyFill="1" applyBorder="1" applyAlignment="1">
      <alignment horizontal="center" vertical="center"/>
    </xf>
    <xf numFmtId="0" fontId="3" fillId="0" borderId="38" xfId="0" applyNumberFormat="1" applyFont="1" applyFill="1" applyBorder="1" applyAlignment="1">
      <alignment horizontal="center" vertical="center"/>
    </xf>
    <xf numFmtId="0" fontId="3" fillId="0" borderId="39" xfId="0" applyNumberFormat="1" applyFont="1" applyFill="1" applyBorder="1">
      <alignment vertical="center"/>
    </xf>
    <xf numFmtId="0" fontId="3" fillId="0" borderId="39" xfId="0" applyNumberFormat="1" applyFont="1" applyFill="1" applyBorder="1" applyAlignment="1">
      <alignment horizontal="center" vertical="center"/>
    </xf>
    <xf numFmtId="0" fontId="3" fillId="0" borderId="42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left" vertical="center"/>
    </xf>
    <xf numFmtId="0" fontId="3" fillId="2" borderId="9" xfId="0" applyNumberFormat="1" applyFont="1" applyFill="1" applyBorder="1" applyAlignment="1">
      <alignment horizontal="left" vertical="center"/>
    </xf>
    <xf numFmtId="0" fontId="3" fillId="2" borderId="41" xfId="0" applyNumberFormat="1" applyFont="1" applyFill="1" applyBorder="1" applyAlignment="1">
      <alignment horizontal="left" vertical="center"/>
    </xf>
    <xf numFmtId="0" fontId="3" fillId="2" borderId="10" xfId="0" applyNumberFormat="1" applyFont="1" applyFill="1" applyBorder="1" applyAlignment="1">
      <alignment horizontal="left" vertical="center"/>
    </xf>
    <xf numFmtId="0" fontId="2" fillId="2" borderId="9" xfId="0" applyNumberFormat="1" applyFont="1" applyFill="1" applyBorder="1">
      <alignment vertical="center"/>
    </xf>
    <xf numFmtId="0" fontId="2" fillId="2" borderId="48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3" fillId="2" borderId="17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4" fontId="12" fillId="0" borderId="39" xfId="0" applyNumberFormat="1" applyFont="1" applyFill="1" applyBorder="1" applyAlignment="1">
      <alignment horizontal="center" vertical="center"/>
    </xf>
    <xf numFmtId="0" fontId="12" fillId="0" borderId="42" xfId="0" applyNumberFormat="1" applyFont="1" applyFill="1" applyBorder="1" applyAlignment="1">
      <alignment horizontal="left" vertical="center"/>
    </xf>
    <xf numFmtId="4" fontId="12" fillId="0" borderId="11" xfId="0" applyNumberFormat="1" applyFont="1" applyFill="1" applyBorder="1" applyAlignment="1">
      <alignment horizontal="center" vertical="center"/>
    </xf>
    <xf numFmtId="0" fontId="12" fillId="0" borderId="18" xfId="0" applyNumberFormat="1" applyFont="1" applyFill="1" applyBorder="1" applyAlignment="1">
      <alignment horizontal="left" vertical="center"/>
    </xf>
    <xf numFmtId="0" fontId="12" fillId="4" borderId="27" xfId="0" applyNumberFormat="1" applyFont="1" applyFill="1" applyBorder="1" applyAlignment="1">
      <alignment horizontal="center" vertical="center"/>
    </xf>
    <xf numFmtId="0" fontId="2" fillId="2" borderId="46" xfId="0" applyNumberFormat="1" applyFont="1" applyFill="1" applyBorder="1" applyAlignment="1">
      <alignment horizontal="center" vertical="center"/>
    </xf>
    <xf numFmtId="0" fontId="2" fillId="2" borderId="49" xfId="0" applyNumberFormat="1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/>
    </xf>
    <xf numFmtId="0" fontId="2" fillId="2" borderId="41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horizontal="center" vertical="center"/>
    </xf>
    <xf numFmtId="0" fontId="12" fillId="0" borderId="39" xfId="0" applyNumberFormat="1" applyFont="1" applyFill="1" applyBorder="1" applyAlignment="1">
      <alignment horizontal="center" vertical="center" wrapText="1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4" fontId="12" fillId="0" borderId="42" xfId="0" applyNumberFormat="1" applyFont="1" applyFill="1" applyBorder="1" applyAlignment="1">
      <alignment horizontal="center" vertical="center"/>
    </xf>
    <xf numFmtId="4" fontId="12" fillId="0" borderId="18" xfId="0" applyNumberFormat="1" applyFont="1" applyFill="1" applyBorder="1" applyAlignment="1">
      <alignment horizontal="center" vertical="center"/>
    </xf>
    <xf numFmtId="0" fontId="12" fillId="0" borderId="27" xfId="0" applyNumberFormat="1" applyFont="1" applyFill="1" applyBorder="1" applyAlignment="1">
      <alignment horizontal="center" vertical="center"/>
    </xf>
    <xf numFmtId="4" fontId="12" fillId="0" borderId="27" xfId="0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4" fillId="4" borderId="2" xfId="0" applyNumberFormat="1" applyFont="1" applyFill="1" applyBorder="1" applyAlignment="1">
      <alignment horizontal="center" vertical="center"/>
    </xf>
    <xf numFmtId="0" fontId="14" fillId="4" borderId="14" xfId="0" applyNumberFormat="1" applyFont="1" applyFill="1" applyBorder="1" applyAlignment="1">
      <alignment horizontal="center" vertical="center"/>
    </xf>
    <xf numFmtId="0" fontId="17" fillId="2" borderId="3" xfId="0" applyNumberFormat="1" applyFont="1" applyFill="1" applyBorder="1" applyAlignment="1">
      <alignment horizontal="center" vertical="center"/>
    </xf>
    <xf numFmtId="0" fontId="17" fillId="2" borderId="6" xfId="0" applyNumberFormat="1" applyFont="1" applyFill="1" applyBorder="1" applyAlignment="1">
      <alignment horizontal="center" vertical="center"/>
    </xf>
    <xf numFmtId="0" fontId="17" fillId="2" borderId="17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4" fontId="14" fillId="0" borderId="27" xfId="0" applyNumberFormat="1" applyFont="1" applyFill="1" applyBorder="1" applyAlignment="1">
      <alignment horizontal="center" vertical="center"/>
    </xf>
    <xf numFmtId="4" fontId="14" fillId="4" borderId="14" xfId="0" applyNumberFormat="1" applyFont="1" applyFill="1" applyBorder="1" applyAlignment="1">
      <alignment horizontal="center" vertical="center"/>
    </xf>
    <xf numFmtId="0" fontId="4" fillId="2" borderId="52" xfId="0" applyNumberFormat="1" applyFont="1" applyFill="1" applyBorder="1" applyAlignment="1">
      <alignment horizontal="center" vertical="center"/>
    </xf>
    <xf numFmtId="0" fontId="4" fillId="2" borderId="53" xfId="0" applyNumberFormat="1" applyFont="1" applyFill="1" applyBorder="1" applyAlignment="1">
      <alignment horizontal="center" vertical="center"/>
    </xf>
    <xf numFmtId="0" fontId="17" fillId="2" borderId="38" xfId="0" applyNumberFormat="1" applyFont="1" applyFill="1" applyBorder="1" applyAlignment="1">
      <alignment horizontal="center" vertical="center"/>
    </xf>
    <xf numFmtId="0" fontId="17" fillId="2" borderId="5" xfId="0" applyNumberFormat="1" applyFont="1" applyFill="1" applyBorder="1" applyAlignment="1">
      <alignment horizontal="center" vertical="center"/>
    </xf>
    <xf numFmtId="0" fontId="17" fillId="2" borderId="39" xfId="0" applyNumberFormat="1" applyFont="1" applyFill="1" applyBorder="1" applyAlignment="1">
      <alignment horizontal="center" vertical="center"/>
    </xf>
    <xf numFmtId="0" fontId="2" fillId="2" borderId="13" xfId="0" applyNumberFormat="1" applyFont="1" applyFill="1" applyBorder="1" applyAlignment="1">
      <alignment horizontal="center" vertical="center"/>
    </xf>
    <xf numFmtId="0" fontId="14" fillId="3" borderId="23" xfId="0" applyNumberFormat="1" applyFont="1" applyFill="1" applyBorder="1" applyAlignment="1">
      <alignment horizontal="right" vertical="center"/>
    </xf>
    <xf numFmtId="0" fontId="14" fillId="3" borderId="24" xfId="0" applyNumberFormat="1" applyFont="1" applyFill="1" applyBorder="1" applyAlignment="1">
      <alignment horizontal="center" vertical="center"/>
    </xf>
    <xf numFmtId="0" fontId="12" fillId="0" borderId="12" xfId="0" applyNumberFormat="1" applyFont="1" applyFill="1" applyBorder="1" applyAlignment="1">
      <alignment horizontal="center" vertical="center"/>
    </xf>
    <xf numFmtId="0" fontId="12" fillId="0" borderId="29" xfId="0" applyNumberFormat="1" applyFont="1" applyFill="1" applyBorder="1" applyAlignment="1">
      <alignment horizontal="center" vertical="center"/>
    </xf>
    <xf numFmtId="0" fontId="4" fillId="2" borderId="54" xfId="0" applyNumberFormat="1" applyFont="1" applyFill="1" applyBorder="1" applyAlignment="1">
      <alignment horizontal="center" vertical="center"/>
    </xf>
    <xf numFmtId="0" fontId="18" fillId="2" borderId="11" xfId="0" applyNumberFormat="1" applyFont="1" applyFill="1" applyBorder="1" applyAlignment="1">
      <alignment horizontal="left" vertical="center"/>
    </xf>
    <xf numFmtId="0" fontId="18" fillId="2" borderId="24" xfId="0" applyNumberFormat="1" applyFont="1" applyFill="1" applyBorder="1" applyAlignment="1">
      <alignment horizontal="left" vertical="center"/>
    </xf>
    <xf numFmtId="0" fontId="3" fillId="2" borderId="27" xfId="0" applyNumberFormat="1" applyFont="1" applyFill="1" applyBorder="1" applyAlignment="1">
      <alignment horizontal="left" vertical="center"/>
    </xf>
    <xf numFmtId="0" fontId="17" fillId="2" borderId="42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4" fontId="14" fillId="3" borderId="27" xfId="0" applyNumberFormat="1" applyFont="1" applyFill="1" applyBorder="1" applyAlignment="1">
      <alignment horizontal="center" vertical="center"/>
    </xf>
    <xf numFmtId="4" fontId="3" fillId="0" borderId="42" xfId="0" applyNumberFormat="1" applyFont="1" applyFill="1" applyBorder="1" applyAlignment="1">
      <alignment horizontal="center" vertical="center"/>
    </xf>
    <xf numFmtId="4" fontId="3" fillId="0" borderId="18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4" fontId="14" fillId="4" borderId="27" xfId="0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0" fontId="14" fillId="5" borderId="2" xfId="0" applyNumberFormat="1" applyFont="1" applyFill="1" applyBorder="1" applyAlignment="1">
      <alignment horizontal="center" vertical="center"/>
    </xf>
    <xf numFmtId="4" fontId="14" fillId="5" borderId="14" xfId="0" applyNumberFormat="1" applyFont="1" applyFill="1" applyBorder="1" applyAlignment="1">
      <alignment horizontal="center" vertical="center"/>
    </xf>
    <xf numFmtId="0" fontId="3" fillId="2" borderId="39" xfId="0" applyNumberFormat="1" applyFont="1" applyFill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Sheet1" xfId="52"/>
  </cellStyles>
  <tableStyles count="0" defaultTableStyle="TableStyleMedium2" defaultPivotStyle="PivotStyleLight16"/>
  <colors>
    <mruColors>
      <color rgb="00E2CB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7"/>
  </sheetPr>
  <dimension ref="A1:M68"/>
  <sheetViews>
    <sheetView tabSelected="1" zoomScale="110" zoomScaleNormal="110" topLeftCell="A42" workbookViewId="0">
      <selection activeCell="M48" sqref="M48"/>
    </sheetView>
  </sheetViews>
  <sheetFormatPr defaultColWidth="9" defaultRowHeight="13.5"/>
  <cols>
    <col min="1" max="1" width="4.63333333333333" style="89" customWidth="1"/>
    <col min="2" max="2" width="14.6333333333333" style="89" customWidth="1"/>
    <col min="3" max="3" width="13.6333333333333" style="89" customWidth="1"/>
    <col min="4" max="4" width="7.63333333333333" style="89" customWidth="1"/>
    <col min="5" max="5" width="10.6333333333333" style="89" customWidth="1"/>
    <col min="6" max="7" width="5.63333333333333" style="89" customWidth="1"/>
    <col min="8" max="8" width="4.63333333333333" style="89" customWidth="1"/>
    <col min="9" max="9" width="7.63333333333333" style="89" customWidth="1"/>
    <col min="10" max="10" width="4.63333333333333" style="89" customWidth="1"/>
    <col min="11" max="11" width="7.13333333333333" style="89" customWidth="1"/>
    <col min="12" max="12" width="10.6333333333333" style="89" customWidth="1"/>
    <col min="13" max="13" width="28.625" style="89" customWidth="1"/>
    <col min="14" max="16384" width="9" style="89" customWidth="1"/>
  </cols>
  <sheetData>
    <row r="1" ht="35.15" customHeight="1" spans="1:12">
      <c r="A1" s="228" t="s">
        <v>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38"/>
    </row>
    <row r="2" spans="1:12">
      <c r="A2" s="58" t="s">
        <v>1</v>
      </c>
      <c r="B2" s="252" t="s">
        <v>2</v>
      </c>
      <c r="C2" s="90"/>
      <c r="D2" s="61" t="s">
        <v>3</v>
      </c>
      <c r="E2" s="4" t="s">
        <v>4</v>
      </c>
      <c r="F2" s="21"/>
      <c r="G2" s="21"/>
      <c r="H2" s="5"/>
      <c r="I2" s="129" t="s">
        <v>5</v>
      </c>
      <c r="J2" s="90" t="s">
        <v>6</v>
      </c>
      <c r="K2" s="90"/>
      <c r="L2" s="119"/>
    </row>
    <row r="3" spans="1:12">
      <c r="A3" s="91" t="s">
        <v>7</v>
      </c>
      <c r="B3" s="92" t="s">
        <v>8</v>
      </c>
      <c r="C3" s="92"/>
      <c r="D3" s="93" t="s">
        <v>9</v>
      </c>
      <c r="E3" s="94" t="s">
        <v>10</v>
      </c>
      <c r="F3" s="102"/>
      <c r="G3" s="102"/>
      <c r="H3" s="95"/>
      <c r="I3" s="239" t="s">
        <v>11</v>
      </c>
      <c r="J3" s="92" t="s">
        <v>4</v>
      </c>
      <c r="K3" s="92"/>
      <c r="L3" s="120"/>
    </row>
    <row r="4" ht="14.25" spans="1:12">
      <c r="A4" s="96" t="s">
        <v>12</v>
      </c>
      <c r="B4" s="97" t="s">
        <v>13</v>
      </c>
      <c r="C4" s="97"/>
      <c r="D4" s="98" t="s">
        <v>14</v>
      </c>
      <c r="E4" s="99" t="s">
        <v>4</v>
      </c>
      <c r="F4" s="104"/>
      <c r="G4" s="104"/>
      <c r="H4" s="100"/>
      <c r="I4" s="240" t="s">
        <v>15</v>
      </c>
      <c r="J4" s="97" t="s">
        <v>4</v>
      </c>
      <c r="K4" s="97"/>
      <c r="L4" s="241"/>
    </row>
    <row r="5" ht="21.95" customHeight="1" spans="1:12">
      <c r="A5" s="230" t="s">
        <v>16</v>
      </c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42"/>
    </row>
    <row r="6" spans="1:12">
      <c r="A6" s="63" t="s">
        <v>17</v>
      </c>
      <c r="B6" s="233" t="s">
        <v>18</v>
      </c>
      <c r="C6" s="64" t="s">
        <v>19</v>
      </c>
      <c r="D6" s="64" t="s">
        <v>20</v>
      </c>
      <c r="E6" s="64" t="s">
        <v>21</v>
      </c>
      <c r="F6" s="64" t="s">
        <v>22</v>
      </c>
      <c r="G6" s="64"/>
      <c r="H6" s="64"/>
      <c r="I6" s="64" t="s">
        <v>23</v>
      </c>
      <c r="J6" s="64" t="s">
        <v>24</v>
      </c>
      <c r="K6" s="64" t="s">
        <v>25</v>
      </c>
      <c r="L6" s="50" t="s">
        <v>26</v>
      </c>
    </row>
    <row r="7" ht="14.25" spans="1:12">
      <c r="A7" s="34"/>
      <c r="B7" s="37"/>
      <c r="C7" s="35"/>
      <c r="D7" s="35"/>
      <c r="E7" s="35"/>
      <c r="F7" s="35" t="s">
        <v>27</v>
      </c>
      <c r="G7" s="35" t="s">
        <v>28</v>
      </c>
      <c r="H7" s="35" t="s">
        <v>29</v>
      </c>
      <c r="I7" s="35"/>
      <c r="J7" s="35"/>
      <c r="K7" s="35"/>
      <c r="L7" s="38"/>
    </row>
    <row r="8" spans="1:13">
      <c r="A8" s="171">
        <v>1</v>
      </c>
      <c r="B8" s="173" t="s">
        <v>30</v>
      </c>
      <c r="C8" s="173" t="s">
        <v>31</v>
      </c>
      <c r="D8" s="173" t="s">
        <v>32</v>
      </c>
      <c r="E8" s="173" t="s">
        <v>33</v>
      </c>
      <c r="F8" s="173">
        <v>857</v>
      </c>
      <c r="G8" s="173">
        <v>397</v>
      </c>
      <c r="H8" s="173">
        <v>18</v>
      </c>
      <c r="I8" s="173">
        <v>0</v>
      </c>
      <c r="J8" s="173">
        <v>1</v>
      </c>
      <c r="K8" s="201">
        <v>0.3402</v>
      </c>
      <c r="L8" s="214">
        <f t="shared" ref="L8:L14" si="0">I8*K8</f>
        <v>0</v>
      </c>
      <c r="M8" s="243" t="s">
        <v>34</v>
      </c>
    </row>
    <row r="9" spans="1:13">
      <c r="A9" s="176">
        <v>2</v>
      </c>
      <c r="B9" s="178" t="s">
        <v>30</v>
      </c>
      <c r="C9" s="178" t="s">
        <v>35</v>
      </c>
      <c r="D9" s="178" t="s">
        <v>32</v>
      </c>
      <c r="E9" s="178" t="s">
        <v>33</v>
      </c>
      <c r="F9" s="178">
        <v>857</v>
      </c>
      <c r="G9" s="178">
        <v>397</v>
      </c>
      <c r="H9" s="178">
        <v>18</v>
      </c>
      <c r="I9" s="178">
        <v>0</v>
      </c>
      <c r="J9" s="178">
        <v>1</v>
      </c>
      <c r="K9" s="203">
        <v>0.3402</v>
      </c>
      <c r="L9" s="215">
        <f t="shared" si="0"/>
        <v>0</v>
      </c>
      <c r="M9" s="243" t="s">
        <v>34</v>
      </c>
    </row>
    <row r="10" spans="1:13">
      <c r="A10" s="176">
        <v>3</v>
      </c>
      <c r="B10" s="178" t="s">
        <v>36</v>
      </c>
      <c r="C10" s="178" t="s">
        <v>35</v>
      </c>
      <c r="D10" s="178" t="s">
        <v>32</v>
      </c>
      <c r="E10" s="178" t="s">
        <v>33</v>
      </c>
      <c r="F10" s="178">
        <v>2387</v>
      </c>
      <c r="G10" s="178">
        <v>465</v>
      </c>
      <c r="H10" s="178">
        <v>18</v>
      </c>
      <c r="I10" s="178">
        <v>0</v>
      </c>
      <c r="J10" s="178">
        <v>1</v>
      </c>
      <c r="K10" s="203">
        <v>1.11</v>
      </c>
      <c r="L10" s="215">
        <f t="shared" si="0"/>
        <v>0</v>
      </c>
      <c r="M10" s="243" t="s">
        <v>37</v>
      </c>
    </row>
    <row r="11" spans="1:13">
      <c r="A11" s="176">
        <v>4</v>
      </c>
      <c r="B11" s="178" t="s">
        <v>38</v>
      </c>
      <c r="C11" s="178" t="s">
        <v>31</v>
      </c>
      <c r="D11" s="178" t="s">
        <v>32</v>
      </c>
      <c r="E11" s="178" t="s">
        <v>33</v>
      </c>
      <c r="F11" s="178">
        <v>1387</v>
      </c>
      <c r="G11" s="178">
        <v>421</v>
      </c>
      <c r="H11" s="178">
        <v>18</v>
      </c>
      <c r="I11" s="178">
        <v>0</v>
      </c>
      <c r="J11" s="178">
        <v>1</v>
      </c>
      <c r="K11" s="203">
        <v>0.5839</v>
      </c>
      <c r="L11" s="215">
        <f t="shared" si="0"/>
        <v>0</v>
      </c>
      <c r="M11" s="243" t="s">
        <v>39</v>
      </c>
    </row>
    <row r="12" spans="1:13">
      <c r="A12" s="176">
        <v>5</v>
      </c>
      <c r="B12" s="178" t="s">
        <v>40</v>
      </c>
      <c r="C12" s="178" t="s">
        <v>31</v>
      </c>
      <c r="D12" s="178" t="s">
        <v>32</v>
      </c>
      <c r="E12" s="178" t="s">
        <v>33</v>
      </c>
      <c r="F12" s="178">
        <v>2407</v>
      </c>
      <c r="G12" s="178">
        <v>497</v>
      </c>
      <c r="H12" s="178">
        <v>18</v>
      </c>
      <c r="I12" s="178">
        <v>0</v>
      </c>
      <c r="J12" s="178">
        <v>1</v>
      </c>
      <c r="K12" s="203">
        <v>1.1963</v>
      </c>
      <c r="L12" s="215">
        <f t="shared" si="0"/>
        <v>0</v>
      </c>
      <c r="M12" s="243" t="s">
        <v>37</v>
      </c>
    </row>
    <row r="13" spans="1:13">
      <c r="A13" s="176">
        <v>6</v>
      </c>
      <c r="B13" s="178" t="s">
        <v>40</v>
      </c>
      <c r="C13" s="178" t="s">
        <v>35</v>
      </c>
      <c r="D13" s="178" t="s">
        <v>32</v>
      </c>
      <c r="E13" s="178" t="s">
        <v>33</v>
      </c>
      <c r="F13" s="178">
        <v>2407</v>
      </c>
      <c r="G13" s="178">
        <v>497</v>
      </c>
      <c r="H13" s="178">
        <v>18</v>
      </c>
      <c r="I13" s="178">
        <v>0</v>
      </c>
      <c r="J13" s="178">
        <v>1</v>
      </c>
      <c r="K13" s="203">
        <v>1.1963</v>
      </c>
      <c r="L13" s="215">
        <f t="shared" si="0"/>
        <v>0</v>
      </c>
      <c r="M13" s="243" t="s">
        <v>37</v>
      </c>
    </row>
    <row r="14" spans="1:13">
      <c r="A14" s="176">
        <v>7</v>
      </c>
      <c r="B14" s="178" t="s">
        <v>41</v>
      </c>
      <c r="C14" s="178" t="s">
        <v>31</v>
      </c>
      <c r="D14" s="178" t="s">
        <v>32</v>
      </c>
      <c r="E14" s="178" t="s">
        <v>33</v>
      </c>
      <c r="F14" s="178">
        <v>2387</v>
      </c>
      <c r="G14" s="178">
        <v>445</v>
      </c>
      <c r="H14" s="178">
        <v>18</v>
      </c>
      <c r="I14" s="178">
        <v>0</v>
      </c>
      <c r="J14" s="178">
        <v>1</v>
      </c>
      <c r="K14" s="203">
        <v>1.0622</v>
      </c>
      <c r="L14" s="215">
        <f t="shared" si="0"/>
        <v>0</v>
      </c>
      <c r="M14" s="243" t="s">
        <v>37</v>
      </c>
    </row>
    <row r="15" spans="1:12">
      <c r="A15" s="234" t="s">
        <v>42</v>
      </c>
      <c r="B15" s="235"/>
      <c r="C15" s="235"/>
      <c r="D15" s="235"/>
      <c r="E15" s="235"/>
      <c r="F15" s="235"/>
      <c r="G15" s="235"/>
      <c r="H15" s="235"/>
      <c r="I15" s="235"/>
      <c r="J15" s="235">
        <f>SUM(J8:J14)</f>
        <v>7</v>
      </c>
      <c r="K15" s="235">
        <f>SUM(K8:K14)</f>
        <v>5.8291</v>
      </c>
      <c r="L15" s="244">
        <f>SUM(L8:L14)</f>
        <v>0</v>
      </c>
    </row>
    <row r="16" ht="20.25" spans="1:12">
      <c r="A16" s="65" t="s">
        <v>43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81"/>
    </row>
    <row r="17" spans="1:12">
      <c r="A17" s="58" t="s">
        <v>1</v>
      </c>
      <c r="B17" s="59" t="s">
        <v>2</v>
      </c>
      <c r="C17" s="60"/>
      <c r="D17" s="61" t="s">
        <v>5</v>
      </c>
      <c r="E17" s="59" t="s">
        <v>6</v>
      </c>
      <c r="F17" s="62"/>
      <c r="G17" s="62"/>
      <c r="H17" s="60"/>
      <c r="I17" s="61" t="s">
        <v>11</v>
      </c>
      <c r="J17" s="59" t="s">
        <v>4</v>
      </c>
      <c r="K17" s="62"/>
      <c r="L17" s="80"/>
    </row>
    <row r="18" spans="1:12">
      <c r="A18" s="34" t="s">
        <v>17</v>
      </c>
      <c r="B18" s="35" t="s">
        <v>44</v>
      </c>
      <c r="C18" s="35" t="s">
        <v>45</v>
      </c>
      <c r="D18" s="36" t="s">
        <v>46</v>
      </c>
      <c r="E18" s="67"/>
      <c r="F18" s="67"/>
      <c r="G18" s="67"/>
      <c r="H18" s="67"/>
      <c r="I18" s="37"/>
      <c r="J18" s="35" t="s">
        <v>24</v>
      </c>
      <c r="K18" s="35" t="s">
        <v>23</v>
      </c>
      <c r="L18" s="38" t="s">
        <v>26</v>
      </c>
    </row>
    <row r="19" spans="1:12">
      <c r="A19" s="186">
        <v>1</v>
      </c>
      <c r="B19" s="188" t="s">
        <v>47</v>
      </c>
      <c r="C19" s="188" t="s">
        <v>48</v>
      </c>
      <c r="D19" s="188" t="s">
        <v>49</v>
      </c>
      <c r="E19" s="188"/>
      <c r="F19" s="188"/>
      <c r="G19" s="188"/>
      <c r="H19" s="188"/>
      <c r="I19" s="188"/>
      <c r="J19" s="188">
        <v>1479</v>
      </c>
      <c r="K19" s="188"/>
      <c r="L19" s="245">
        <f>J19*K19</f>
        <v>0</v>
      </c>
    </row>
    <row r="20" spans="1:12">
      <c r="A20" s="39">
        <v>2</v>
      </c>
      <c r="B20" s="16" t="s">
        <v>50</v>
      </c>
      <c r="C20" s="16" t="s">
        <v>51</v>
      </c>
      <c r="D20" s="16" t="s">
        <v>52</v>
      </c>
      <c r="E20" s="16"/>
      <c r="F20" s="16"/>
      <c r="G20" s="16"/>
      <c r="H20" s="16"/>
      <c r="I20" s="16"/>
      <c r="J20" s="16">
        <v>2</v>
      </c>
      <c r="K20" s="16"/>
      <c r="L20" s="246">
        <f>J20*K20</f>
        <v>0</v>
      </c>
    </row>
    <row r="21" spans="1:12">
      <c r="A21" s="176">
        <v>3</v>
      </c>
      <c r="B21" s="178" t="s">
        <v>53</v>
      </c>
      <c r="C21" s="178" t="s">
        <v>48</v>
      </c>
      <c r="D21" s="178" t="s">
        <v>54</v>
      </c>
      <c r="E21" s="178"/>
      <c r="F21" s="178"/>
      <c r="G21" s="178"/>
      <c r="H21" s="178"/>
      <c r="I21" s="178"/>
      <c r="J21" s="178">
        <v>4</v>
      </c>
      <c r="K21" s="178"/>
      <c r="L21" s="215">
        <f>J21*K21</f>
        <v>0</v>
      </c>
    </row>
    <row r="22" spans="1:12">
      <c r="A22" s="176">
        <v>5</v>
      </c>
      <c r="B22" s="178" t="s">
        <v>55</v>
      </c>
      <c r="C22" s="178" t="s">
        <v>56</v>
      </c>
      <c r="D22" s="178" t="s">
        <v>57</v>
      </c>
      <c r="E22" s="178"/>
      <c r="F22" s="178"/>
      <c r="G22" s="178"/>
      <c r="H22" s="178"/>
      <c r="I22" s="178"/>
      <c r="J22" s="178">
        <v>80</v>
      </c>
      <c r="K22" s="178"/>
      <c r="L22" s="215">
        <f t="shared" ref="L22:L46" si="1">J22*K22</f>
        <v>0</v>
      </c>
    </row>
    <row r="23" spans="1:12">
      <c r="A23" s="176">
        <v>6</v>
      </c>
      <c r="B23" s="178" t="s">
        <v>50</v>
      </c>
      <c r="C23" s="178" t="s">
        <v>51</v>
      </c>
      <c r="D23" s="178" t="s">
        <v>58</v>
      </c>
      <c r="E23" s="178"/>
      <c r="F23" s="178"/>
      <c r="G23" s="178"/>
      <c r="H23" s="178"/>
      <c r="I23" s="178"/>
      <c r="J23" s="178">
        <v>2</v>
      </c>
      <c r="K23" s="178"/>
      <c r="L23" s="215">
        <f t="shared" si="1"/>
        <v>0</v>
      </c>
    </row>
    <row r="24" spans="1:12">
      <c r="A24" s="176">
        <v>7</v>
      </c>
      <c r="B24" s="178" t="s">
        <v>59</v>
      </c>
      <c r="C24" s="178" t="s">
        <v>48</v>
      </c>
      <c r="D24" s="178" t="s">
        <v>60</v>
      </c>
      <c r="E24" s="178"/>
      <c r="F24" s="178"/>
      <c r="G24" s="178"/>
      <c r="H24" s="178"/>
      <c r="I24" s="178"/>
      <c r="J24" s="178">
        <v>32</v>
      </c>
      <c r="K24" s="178"/>
      <c r="L24" s="215">
        <f t="shared" si="1"/>
        <v>0</v>
      </c>
    </row>
    <row r="25" spans="1:12">
      <c r="A25" s="176">
        <v>8</v>
      </c>
      <c r="B25" s="178" t="s">
        <v>50</v>
      </c>
      <c r="C25" s="178" t="s">
        <v>51</v>
      </c>
      <c r="D25" s="178" t="s">
        <v>61</v>
      </c>
      <c r="E25" s="178"/>
      <c r="F25" s="178"/>
      <c r="G25" s="178"/>
      <c r="H25" s="178"/>
      <c r="I25" s="178"/>
      <c r="J25" s="178">
        <v>1</v>
      </c>
      <c r="K25" s="178"/>
      <c r="L25" s="215">
        <f t="shared" si="1"/>
        <v>0</v>
      </c>
    </row>
    <row r="26" spans="1:12">
      <c r="A26" s="176">
        <v>9</v>
      </c>
      <c r="B26" s="178" t="s">
        <v>55</v>
      </c>
      <c r="C26" s="178" t="s">
        <v>56</v>
      </c>
      <c r="D26" s="178" t="s">
        <v>62</v>
      </c>
      <c r="E26" s="178"/>
      <c r="F26" s="178"/>
      <c r="G26" s="178"/>
      <c r="H26" s="178"/>
      <c r="I26" s="178"/>
      <c r="J26" s="178">
        <v>22</v>
      </c>
      <c r="K26" s="178"/>
      <c r="L26" s="215">
        <f t="shared" si="1"/>
        <v>0</v>
      </c>
    </row>
    <row r="27" spans="1:12">
      <c r="A27" s="176">
        <v>10</v>
      </c>
      <c r="B27" s="178" t="s">
        <v>50</v>
      </c>
      <c r="C27" s="178" t="s">
        <v>51</v>
      </c>
      <c r="D27" s="178" t="s">
        <v>63</v>
      </c>
      <c r="E27" s="178"/>
      <c r="F27" s="178"/>
      <c r="G27" s="178"/>
      <c r="H27" s="178"/>
      <c r="I27" s="178"/>
      <c r="J27" s="178">
        <v>5</v>
      </c>
      <c r="K27" s="178"/>
      <c r="L27" s="215">
        <f t="shared" si="1"/>
        <v>0</v>
      </c>
    </row>
    <row r="28" spans="1:12">
      <c r="A28" s="176">
        <v>11</v>
      </c>
      <c r="B28" s="178" t="s">
        <v>50</v>
      </c>
      <c r="C28" s="178" t="s">
        <v>51</v>
      </c>
      <c r="D28" s="178" t="s">
        <v>64</v>
      </c>
      <c r="E28" s="178"/>
      <c r="F28" s="178"/>
      <c r="G28" s="178"/>
      <c r="H28" s="178"/>
      <c r="I28" s="178"/>
      <c r="J28" s="178">
        <v>1</v>
      </c>
      <c r="K28" s="178"/>
      <c r="L28" s="215">
        <f t="shared" si="1"/>
        <v>0</v>
      </c>
    </row>
    <row r="29" spans="1:12">
      <c r="A29" s="176">
        <v>12</v>
      </c>
      <c r="B29" s="178" t="s">
        <v>55</v>
      </c>
      <c r="C29" s="178" t="s">
        <v>56</v>
      </c>
      <c r="D29" s="178" t="s">
        <v>65</v>
      </c>
      <c r="E29" s="178"/>
      <c r="F29" s="178"/>
      <c r="G29" s="178"/>
      <c r="H29" s="178"/>
      <c r="I29" s="178"/>
      <c r="J29" s="178">
        <v>30</v>
      </c>
      <c r="K29" s="178"/>
      <c r="L29" s="215">
        <f t="shared" si="1"/>
        <v>0</v>
      </c>
    </row>
    <row r="30" spans="1:12">
      <c r="A30" s="176">
        <v>13</v>
      </c>
      <c r="B30" s="178" t="s">
        <v>53</v>
      </c>
      <c r="C30" s="178" t="s">
        <v>48</v>
      </c>
      <c r="D30" s="178" t="s">
        <v>66</v>
      </c>
      <c r="E30" s="178"/>
      <c r="F30" s="178"/>
      <c r="G30" s="178"/>
      <c r="H30" s="178"/>
      <c r="I30" s="178"/>
      <c r="J30" s="178">
        <v>2</v>
      </c>
      <c r="K30" s="178"/>
      <c r="L30" s="215">
        <f t="shared" si="1"/>
        <v>0</v>
      </c>
    </row>
    <row r="31" spans="1:12">
      <c r="A31" s="176">
        <v>14</v>
      </c>
      <c r="B31" s="178" t="s">
        <v>50</v>
      </c>
      <c r="C31" s="178" t="s">
        <v>51</v>
      </c>
      <c r="D31" s="178" t="s">
        <v>67</v>
      </c>
      <c r="E31" s="178"/>
      <c r="F31" s="178"/>
      <c r="G31" s="178"/>
      <c r="H31" s="178"/>
      <c r="I31" s="178"/>
      <c r="J31" s="178">
        <v>3</v>
      </c>
      <c r="K31" s="178"/>
      <c r="L31" s="215">
        <f t="shared" si="1"/>
        <v>0</v>
      </c>
    </row>
    <row r="32" spans="1:12">
      <c r="A32" s="176">
        <v>15</v>
      </c>
      <c r="B32" s="178" t="s">
        <v>53</v>
      </c>
      <c r="C32" s="178" t="s">
        <v>48</v>
      </c>
      <c r="D32" s="178" t="s">
        <v>68</v>
      </c>
      <c r="E32" s="178"/>
      <c r="F32" s="178"/>
      <c r="G32" s="178"/>
      <c r="H32" s="178"/>
      <c r="I32" s="178"/>
      <c r="J32" s="178">
        <v>8</v>
      </c>
      <c r="K32" s="178"/>
      <c r="L32" s="215">
        <f t="shared" si="1"/>
        <v>0</v>
      </c>
    </row>
    <row r="33" spans="1:12">
      <c r="A33" s="176">
        <v>16</v>
      </c>
      <c r="B33" s="178" t="s">
        <v>69</v>
      </c>
      <c r="C33" s="178" t="s">
        <v>70</v>
      </c>
      <c r="D33" s="178" t="s">
        <v>71</v>
      </c>
      <c r="E33" s="178"/>
      <c r="F33" s="178"/>
      <c r="G33" s="178"/>
      <c r="H33" s="178"/>
      <c r="I33" s="178"/>
      <c r="J33" s="178">
        <v>1</v>
      </c>
      <c r="K33" s="178"/>
      <c r="L33" s="215">
        <f t="shared" si="1"/>
        <v>0</v>
      </c>
    </row>
    <row r="34" spans="1:12">
      <c r="A34" s="176">
        <v>17</v>
      </c>
      <c r="B34" s="178" t="s">
        <v>72</v>
      </c>
      <c r="C34" s="178" t="s">
        <v>73</v>
      </c>
      <c r="D34" s="178" t="s">
        <v>74</v>
      </c>
      <c r="E34" s="178"/>
      <c r="F34" s="178"/>
      <c r="G34" s="178"/>
      <c r="H34" s="178"/>
      <c r="I34" s="178"/>
      <c r="J34" s="178">
        <v>16</v>
      </c>
      <c r="K34" s="178"/>
      <c r="L34" s="215">
        <f t="shared" si="1"/>
        <v>0</v>
      </c>
    </row>
    <row r="35" spans="1:12">
      <c r="A35" s="176">
        <v>18</v>
      </c>
      <c r="B35" s="178" t="s">
        <v>69</v>
      </c>
      <c r="C35" s="178" t="s">
        <v>70</v>
      </c>
      <c r="D35" s="178" t="s">
        <v>75</v>
      </c>
      <c r="E35" s="178"/>
      <c r="F35" s="178"/>
      <c r="G35" s="178"/>
      <c r="H35" s="178"/>
      <c r="I35" s="178"/>
      <c r="J35" s="178">
        <v>2</v>
      </c>
      <c r="K35" s="178"/>
      <c r="L35" s="215">
        <f t="shared" si="1"/>
        <v>0</v>
      </c>
    </row>
    <row r="36" spans="1:12">
      <c r="A36" s="176">
        <v>19</v>
      </c>
      <c r="B36" s="178" t="s">
        <v>50</v>
      </c>
      <c r="C36" s="178" t="s">
        <v>51</v>
      </c>
      <c r="D36" s="178" t="s">
        <v>76</v>
      </c>
      <c r="E36" s="178"/>
      <c r="F36" s="178"/>
      <c r="G36" s="178"/>
      <c r="H36" s="178"/>
      <c r="I36" s="178"/>
      <c r="J36" s="178">
        <v>2</v>
      </c>
      <c r="K36" s="178"/>
      <c r="L36" s="215">
        <f t="shared" si="1"/>
        <v>0</v>
      </c>
    </row>
    <row r="37" spans="1:12">
      <c r="A37" s="176">
        <v>20</v>
      </c>
      <c r="B37" s="178" t="s">
        <v>53</v>
      </c>
      <c r="C37" s="178" t="s">
        <v>48</v>
      </c>
      <c r="D37" s="178" t="s">
        <v>77</v>
      </c>
      <c r="E37" s="178"/>
      <c r="F37" s="178"/>
      <c r="G37" s="178"/>
      <c r="H37" s="178"/>
      <c r="I37" s="178"/>
      <c r="J37" s="178">
        <v>2</v>
      </c>
      <c r="K37" s="178"/>
      <c r="L37" s="215">
        <f t="shared" si="1"/>
        <v>0</v>
      </c>
    </row>
    <row r="38" spans="1:12">
      <c r="A38" s="176">
        <v>21</v>
      </c>
      <c r="B38" s="178" t="s">
        <v>69</v>
      </c>
      <c r="C38" s="178" t="s">
        <v>70</v>
      </c>
      <c r="D38" s="178" t="s">
        <v>78</v>
      </c>
      <c r="E38" s="178"/>
      <c r="F38" s="178"/>
      <c r="G38" s="178"/>
      <c r="H38" s="178"/>
      <c r="I38" s="178"/>
      <c r="J38" s="178">
        <v>1</v>
      </c>
      <c r="K38" s="178"/>
      <c r="L38" s="215">
        <f t="shared" si="1"/>
        <v>0</v>
      </c>
    </row>
    <row r="39" spans="1:12">
      <c r="A39" s="176">
        <v>22</v>
      </c>
      <c r="B39" s="178" t="s">
        <v>69</v>
      </c>
      <c r="C39" s="178" t="s">
        <v>70</v>
      </c>
      <c r="D39" s="178" t="s">
        <v>79</v>
      </c>
      <c r="E39" s="178"/>
      <c r="F39" s="178"/>
      <c r="G39" s="178"/>
      <c r="H39" s="178"/>
      <c r="I39" s="178"/>
      <c r="J39" s="178">
        <v>1</v>
      </c>
      <c r="K39" s="178"/>
      <c r="L39" s="215">
        <f t="shared" si="1"/>
        <v>0</v>
      </c>
    </row>
    <row r="40" spans="1:12">
      <c r="A40" s="176">
        <v>23</v>
      </c>
      <c r="B40" s="178" t="s">
        <v>69</v>
      </c>
      <c r="C40" s="178" t="s">
        <v>70</v>
      </c>
      <c r="D40" s="178" t="s">
        <v>80</v>
      </c>
      <c r="E40" s="178"/>
      <c r="F40" s="178"/>
      <c r="G40" s="178"/>
      <c r="H40" s="178"/>
      <c r="I40" s="178"/>
      <c r="J40" s="178">
        <v>1</v>
      </c>
      <c r="K40" s="178"/>
      <c r="L40" s="215">
        <f t="shared" si="1"/>
        <v>0</v>
      </c>
    </row>
    <row r="41" spans="1:12">
      <c r="A41" s="176">
        <v>24</v>
      </c>
      <c r="B41" s="178" t="s">
        <v>53</v>
      </c>
      <c r="C41" s="178" t="s">
        <v>48</v>
      </c>
      <c r="D41" s="178" t="s">
        <v>81</v>
      </c>
      <c r="E41" s="178"/>
      <c r="F41" s="178"/>
      <c r="G41" s="178"/>
      <c r="H41" s="178"/>
      <c r="I41" s="178"/>
      <c r="J41" s="178">
        <v>1</v>
      </c>
      <c r="K41" s="178"/>
      <c r="L41" s="215">
        <f t="shared" si="1"/>
        <v>0</v>
      </c>
    </row>
    <row r="42" spans="1:12">
      <c r="A42" s="176">
        <v>25</v>
      </c>
      <c r="B42" s="178" t="s">
        <v>69</v>
      </c>
      <c r="C42" s="178" t="s">
        <v>70</v>
      </c>
      <c r="D42" s="178" t="s">
        <v>82</v>
      </c>
      <c r="E42" s="178"/>
      <c r="F42" s="178"/>
      <c r="G42" s="178"/>
      <c r="H42" s="178"/>
      <c r="I42" s="178"/>
      <c r="J42" s="178">
        <v>1</v>
      </c>
      <c r="K42" s="178"/>
      <c r="L42" s="215">
        <f t="shared" si="1"/>
        <v>0</v>
      </c>
    </row>
    <row r="43" spans="1:12">
      <c r="A43" s="176">
        <v>26</v>
      </c>
      <c r="B43" s="178" t="s">
        <v>69</v>
      </c>
      <c r="C43" s="178" t="s">
        <v>70</v>
      </c>
      <c r="D43" s="178" t="s">
        <v>83</v>
      </c>
      <c r="E43" s="178"/>
      <c r="F43" s="178"/>
      <c r="G43" s="178"/>
      <c r="H43" s="178"/>
      <c r="I43" s="178"/>
      <c r="J43" s="178">
        <v>1</v>
      </c>
      <c r="K43" s="178"/>
      <c r="L43" s="215">
        <f t="shared" si="1"/>
        <v>0</v>
      </c>
    </row>
    <row r="44" spans="1:12">
      <c r="A44" s="176">
        <v>27</v>
      </c>
      <c r="B44" s="178" t="s">
        <v>50</v>
      </c>
      <c r="C44" s="178" t="s">
        <v>51</v>
      </c>
      <c r="D44" s="178" t="s">
        <v>84</v>
      </c>
      <c r="E44" s="178"/>
      <c r="F44" s="178"/>
      <c r="G44" s="178"/>
      <c r="H44" s="178"/>
      <c r="I44" s="178"/>
      <c r="J44" s="178">
        <v>1</v>
      </c>
      <c r="K44" s="178"/>
      <c r="L44" s="215">
        <f t="shared" si="1"/>
        <v>0</v>
      </c>
    </row>
    <row r="45" spans="1:12">
      <c r="A45" s="176">
        <v>28</v>
      </c>
      <c r="B45" s="178" t="s">
        <v>50</v>
      </c>
      <c r="C45" s="178" t="s">
        <v>51</v>
      </c>
      <c r="D45" s="178" t="s">
        <v>85</v>
      </c>
      <c r="E45" s="178"/>
      <c r="F45" s="178"/>
      <c r="G45" s="178"/>
      <c r="H45" s="178"/>
      <c r="I45" s="178"/>
      <c r="J45" s="178">
        <v>1</v>
      </c>
      <c r="K45" s="178"/>
      <c r="L45" s="215">
        <f t="shared" si="1"/>
        <v>0</v>
      </c>
    </row>
    <row r="46" spans="1:12">
      <c r="A46" s="176">
        <v>29</v>
      </c>
      <c r="B46" s="178" t="s">
        <v>50</v>
      </c>
      <c r="C46" s="178" t="s">
        <v>51</v>
      </c>
      <c r="D46" s="178" t="s">
        <v>86</v>
      </c>
      <c r="E46" s="178"/>
      <c r="F46" s="178"/>
      <c r="G46" s="178"/>
      <c r="H46" s="178"/>
      <c r="I46" s="178"/>
      <c r="J46" s="178">
        <v>5</v>
      </c>
      <c r="K46" s="178"/>
      <c r="L46" s="215">
        <f t="shared" si="1"/>
        <v>0</v>
      </c>
    </row>
    <row r="47" spans="1:12">
      <c r="A47" s="176"/>
      <c r="B47" s="178" t="s">
        <v>87</v>
      </c>
      <c r="C47" s="178"/>
      <c r="D47" s="178"/>
      <c r="E47" s="178"/>
      <c r="F47" s="178"/>
      <c r="G47" s="178"/>
      <c r="H47" s="178"/>
      <c r="I47" s="178"/>
      <c r="J47" s="178">
        <v>6</v>
      </c>
      <c r="K47" s="178"/>
      <c r="L47" s="215"/>
    </row>
    <row r="48" spans="1:12">
      <c r="A48" s="176"/>
      <c r="B48" s="178" t="s">
        <v>88</v>
      </c>
      <c r="C48" s="178"/>
      <c r="D48" s="236"/>
      <c r="E48" s="237"/>
      <c r="F48" s="237"/>
      <c r="G48" s="237"/>
      <c r="H48" s="237"/>
      <c r="I48" s="247"/>
      <c r="J48" s="178">
        <v>20</v>
      </c>
      <c r="K48" s="178"/>
      <c r="L48" s="215"/>
    </row>
    <row r="49" spans="1:12">
      <c r="A49" s="176"/>
      <c r="B49" s="178" t="s">
        <v>89</v>
      </c>
      <c r="C49" s="178"/>
      <c r="D49" s="236"/>
      <c r="E49" s="237"/>
      <c r="F49" s="237"/>
      <c r="G49" s="237"/>
      <c r="H49" s="237"/>
      <c r="I49" s="247"/>
      <c r="J49" s="178">
        <v>7</v>
      </c>
      <c r="K49" s="178"/>
      <c r="L49" s="215"/>
    </row>
    <row r="50" spans="1:12">
      <c r="A50" s="176"/>
      <c r="B50" s="178" t="s">
        <v>90</v>
      </c>
      <c r="C50" s="178"/>
      <c r="D50" s="178"/>
      <c r="E50" s="178"/>
      <c r="F50" s="178"/>
      <c r="G50" s="178"/>
      <c r="H50" s="178"/>
      <c r="I50" s="178"/>
      <c r="J50" s="178">
        <v>30</v>
      </c>
      <c r="K50" s="178"/>
      <c r="L50" s="215"/>
    </row>
    <row r="51" spans="1:12">
      <c r="A51" s="176"/>
      <c r="B51" s="178" t="s">
        <v>91</v>
      </c>
      <c r="C51" s="178"/>
      <c r="D51" s="178"/>
      <c r="E51" s="178"/>
      <c r="F51" s="178"/>
      <c r="G51" s="178"/>
      <c r="H51" s="178"/>
      <c r="I51" s="178"/>
      <c r="J51" s="178">
        <v>6</v>
      </c>
      <c r="K51" s="178"/>
      <c r="L51" s="215"/>
    </row>
    <row r="52" spans="1:12">
      <c r="A52" s="176"/>
      <c r="B52" s="178" t="s">
        <v>92</v>
      </c>
      <c r="C52" s="178"/>
      <c r="D52" s="178" t="s">
        <v>93</v>
      </c>
      <c r="E52" s="178"/>
      <c r="F52" s="178"/>
      <c r="G52" s="178"/>
      <c r="H52" s="178"/>
      <c r="I52" s="178"/>
      <c r="J52" s="178">
        <v>4</v>
      </c>
      <c r="K52" s="178"/>
      <c r="L52" s="215"/>
    </row>
    <row r="53" spans="1:12">
      <c r="A53" s="176"/>
      <c r="B53" s="178" t="s">
        <v>94</v>
      </c>
      <c r="C53" s="178"/>
      <c r="D53" s="178" t="s">
        <v>95</v>
      </c>
      <c r="E53" s="178"/>
      <c r="F53" s="178"/>
      <c r="G53" s="178"/>
      <c r="H53" s="178"/>
      <c r="I53" s="178"/>
      <c r="J53" s="178"/>
      <c r="K53" s="178"/>
      <c r="L53" s="215"/>
    </row>
    <row r="54" spans="1:12">
      <c r="A54" s="176"/>
      <c r="B54" s="178" t="s">
        <v>96</v>
      </c>
      <c r="C54" s="178"/>
      <c r="D54" s="178"/>
      <c r="E54" s="178"/>
      <c r="F54" s="178"/>
      <c r="G54" s="178"/>
      <c r="H54" s="178"/>
      <c r="I54" s="178"/>
      <c r="J54" s="178">
        <v>1</v>
      </c>
      <c r="K54" s="178"/>
      <c r="L54" s="215"/>
    </row>
    <row r="55" spans="1:12">
      <c r="A55" s="176"/>
      <c r="B55" s="178" t="s">
        <v>97</v>
      </c>
      <c r="C55" s="178"/>
      <c r="D55" s="178">
        <v>16</v>
      </c>
      <c r="E55" s="178"/>
      <c r="F55" s="178"/>
      <c r="G55" s="178"/>
      <c r="H55" s="178"/>
      <c r="I55" s="178"/>
      <c r="J55" s="178">
        <v>1100</v>
      </c>
      <c r="K55" s="178"/>
      <c r="L55" s="215"/>
    </row>
    <row r="56" spans="1:12">
      <c r="A56" s="176"/>
      <c r="B56" s="178"/>
      <c r="C56" s="178"/>
      <c r="D56" s="178">
        <v>30</v>
      </c>
      <c r="E56" s="178"/>
      <c r="F56" s="178"/>
      <c r="G56" s="178"/>
      <c r="H56" s="178"/>
      <c r="I56" s="178"/>
      <c r="J56" s="178">
        <v>300</v>
      </c>
      <c r="K56" s="178"/>
      <c r="L56" s="215"/>
    </row>
    <row r="57" spans="1:12">
      <c r="A57" s="176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215"/>
    </row>
    <row r="58" spans="1:12">
      <c r="A58" s="182" t="s">
        <v>98</v>
      </c>
      <c r="B58" s="184"/>
      <c r="C58" s="184"/>
      <c r="D58" s="184"/>
      <c r="E58" s="184"/>
      <c r="F58" s="184"/>
      <c r="G58" s="184"/>
      <c r="H58" s="184"/>
      <c r="I58" s="184"/>
      <c r="J58" s="184">
        <f>SUM(J19:J46)</f>
        <v>1707</v>
      </c>
      <c r="K58" s="184"/>
      <c r="L58" s="248">
        <f>SUM(L19:L46)</f>
        <v>0</v>
      </c>
    </row>
    <row r="59" ht="14.25"/>
    <row r="60" ht="20.25" spans="1:12">
      <c r="A60" s="65" t="s">
        <v>99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81"/>
    </row>
    <row r="61" spans="1:12">
      <c r="A61" s="58" t="s">
        <v>1</v>
      </c>
      <c r="B61" s="59" t="s">
        <v>2</v>
      </c>
      <c r="C61" s="60"/>
      <c r="D61" s="61" t="s">
        <v>5</v>
      </c>
      <c r="E61" s="59" t="s">
        <v>6</v>
      </c>
      <c r="F61" s="62"/>
      <c r="G61" s="62"/>
      <c r="H61" s="60"/>
      <c r="I61" s="61" t="s">
        <v>11</v>
      </c>
      <c r="J61" s="59" t="s">
        <v>4</v>
      </c>
      <c r="K61" s="62"/>
      <c r="L61" s="80"/>
    </row>
    <row r="62" spans="1:12">
      <c r="A62" s="34" t="s">
        <v>17</v>
      </c>
      <c r="B62" s="35" t="s">
        <v>44</v>
      </c>
      <c r="C62" s="35" t="s">
        <v>45</v>
      </c>
      <c r="D62" s="36" t="s">
        <v>21</v>
      </c>
      <c r="E62" s="67"/>
      <c r="F62" s="67"/>
      <c r="G62" s="67"/>
      <c r="H62" s="67"/>
      <c r="I62" s="35" t="s">
        <v>23</v>
      </c>
      <c r="J62" s="36" t="s">
        <v>100</v>
      </c>
      <c r="K62" s="37"/>
      <c r="L62" s="38" t="s">
        <v>26</v>
      </c>
    </row>
    <row r="63" spans="1:12">
      <c r="A63" s="186">
        <v>1</v>
      </c>
      <c r="B63" s="188" t="s">
        <v>101</v>
      </c>
      <c r="C63" s="188" t="s">
        <v>94</v>
      </c>
      <c r="D63" s="188" t="s">
        <v>4</v>
      </c>
      <c r="E63" s="188"/>
      <c r="F63" s="188"/>
      <c r="G63" s="188"/>
      <c r="H63" s="188"/>
      <c r="I63" s="188"/>
      <c r="J63" s="188">
        <v>452.5948</v>
      </c>
      <c r="K63" s="188"/>
      <c r="L63" s="245">
        <f>I63*J63</f>
        <v>0</v>
      </c>
    </row>
    <row r="64" spans="1:12">
      <c r="A64" s="39">
        <v>2</v>
      </c>
      <c r="B64" s="16" t="s">
        <v>102</v>
      </c>
      <c r="C64" s="16" t="s">
        <v>94</v>
      </c>
      <c r="D64" s="16" t="s">
        <v>4</v>
      </c>
      <c r="E64" s="16"/>
      <c r="F64" s="16"/>
      <c r="G64" s="16"/>
      <c r="H64" s="16"/>
      <c r="I64" s="16"/>
      <c r="J64" s="16">
        <v>808.018107218913</v>
      </c>
      <c r="K64" s="16"/>
      <c r="L64" s="246">
        <f>I64*J64</f>
        <v>0</v>
      </c>
    </row>
    <row r="65" spans="1:12">
      <c r="A65" s="182" t="s">
        <v>98</v>
      </c>
      <c r="B65" s="184"/>
      <c r="C65" s="184"/>
      <c r="D65" s="184"/>
      <c r="E65" s="184"/>
      <c r="F65" s="184"/>
      <c r="G65" s="184"/>
      <c r="H65" s="184"/>
      <c r="I65" s="184"/>
      <c r="J65" s="184">
        <f>SUM(J63:J64)</f>
        <v>1260.61290721891</v>
      </c>
      <c r="K65" s="184"/>
      <c r="L65" s="248">
        <f>SUM(L63:L64)</f>
        <v>0</v>
      </c>
    </row>
    <row r="67" ht="14.25"/>
    <row r="68" spans="1:12">
      <c r="A68" s="249" t="s">
        <v>103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1" t="e">
        <f>SUM(L15,#REF!,#REF!,#REF!,L58,L65)</f>
        <v>#REF!</v>
      </c>
    </row>
  </sheetData>
  <mergeCells count="80">
    <mergeCell ref="A1:L1"/>
    <mergeCell ref="B2:C2"/>
    <mergeCell ref="E2:H2"/>
    <mergeCell ref="J2:L2"/>
    <mergeCell ref="B3:C3"/>
    <mergeCell ref="E3:H3"/>
    <mergeCell ref="J3:L3"/>
    <mergeCell ref="B4:C4"/>
    <mergeCell ref="E4:H4"/>
    <mergeCell ref="J4:L4"/>
    <mergeCell ref="A5:L5"/>
    <mergeCell ref="F6:H6"/>
    <mergeCell ref="A15:I15"/>
    <mergeCell ref="A16:L16"/>
    <mergeCell ref="B17:C17"/>
    <mergeCell ref="E17:H17"/>
    <mergeCell ref="J17:L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A58:I58"/>
    <mergeCell ref="A60:L60"/>
    <mergeCell ref="B61:C61"/>
    <mergeCell ref="E61:H61"/>
    <mergeCell ref="J61:L61"/>
    <mergeCell ref="D62:H62"/>
    <mergeCell ref="J62:K62"/>
    <mergeCell ref="D63:H63"/>
    <mergeCell ref="J63:K63"/>
    <mergeCell ref="D64:H64"/>
    <mergeCell ref="J64:K64"/>
    <mergeCell ref="A65:H65"/>
    <mergeCell ref="J65:K65"/>
    <mergeCell ref="A68:K68"/>
    <mergeCell ref="A6:A7"/>
    <mergeCell ref="B6:B7"/>
    <mergeCell ref="C6:C7"/>
    <mergeCell ref="D6:D7"/>
    <mergeCell ref="E6:E7"/>
    <mergeCell ref="I6:I7"/>
    <mergeCell ref="J6:J7"/>
    <mergeCell ref="K6:K7"/>
    <mergeCell ref="L6:L7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/>
  </sheetPr>
  <dimension ref="A1:J652"/>
  <sheetViews>
    <sheetView zoomScale="110" zoomScaleNormal="110" zoomScaleSheetLayoutView="110" workbookViewId="0">
      <selection activeCell="D3" sqref="D3"/>
    </sheetView>
  </sheetViews>
  <sheetFormatPr defaultColWidth="9" defaultRowHeight="13.5"/>
  <cols>
    <col min="1" max="1" width="4.63333333333333" style="89" customWidth="1"/>
    <col min="2" max="3" width="15.6333333333333" style="89" customWidth="1"/>
    <col min="4" max="4" width="7.63333333333333" style="89" customWidth="1"/>
    <col min="5" max="5" width="10.6333333333333" style="89" customWidth="1"/>
    <col min="6" max="8" width="7.63333333333333" style="89" customWidth="1"/>
    <col min="9" max="9" width="9.63333333333333" style="89" customWidth="1"/>
    <col min="10" max="10" width="10.6333333333333" style="89" customWidth="1"/>
    <col min="11" max="16382" width="9" style="89" customWidth="1"/>
  </cols>
  <sheetData>
    <row r="1" ht="35.15" customHeight="1" spans="1:10">
      <c r="A1" s="26" t="s">
        <v>104</v>
      </c>
      <c r="B1" s="27"/>
      <c r="C1" s="27"/>
      <c r="D1" s="27"/>
      <c r="E1" s="27"/>
      <c r="F1" s="27"/>
      <c r="G1" s="27"/>
      <c r="H1" s="27"/>
      <c r="I1" s="27"/>
      <c r="J1" s="29"/>
    </row>
    <row r="2" spans="1:10">
      <c r="A2" s="58" t="s">
        <v>1</v>
      </c>
      <c r="B2" s="252" t="s">
        <v>2</v>
      </c>
      <c r="C2" s="90"/>
      <c r="D2" s="61" t="s">
        <v>3</v>
      </c>
      <c r="E2" s="4" t="s">
        <v>4</v>
      </c>
      <c r="F2" s="21"/>
      <c r="G2" s="21"/>
      <c r="H2" s="61" t="s">
        <v>5</v>
      </c>
      <c r="I2" s="4" t="s">
        <v>6</v>
      </c>
      <c r="J2" s="22"/>
    </row>
    <row r="3" spans="1:10">
      <c r="A3" s="91" t="s">
        <v>7</v>
      </c>
      <c r="B3" s="92" t="s">
        <v>8</v>
      </c>
      <c r="C3" s="92"/>
      <c r="D3" s="93" t="s">
        <v>9</v>
      </c>
      <c r="E3" s="94" t="s">
        <v>10</v>
      </c>
      <c r="F3" s="102"/>
      <c r="G3" s="102"/>
      <c r="H3" s="93" t="s">
        <v>11</v>
      </c>
      <c r="I3" s="94" t="s">
        <v>4</v>
      </c>
      <c r="J3" s="103"/>
    </row>
    <row r="4" ht="14.25" spans="1:10">
      <c r="A4" s="96" t="s">
        <v>12</v>
      </c>
      <c r="B4" s="97" t="s">
        <v>13</v>
      </c>
      <c r="C4" s="97"/>
      <c r="D4" s="98" t="s">
        <v>14</v>
      </c>
      <c r="E4" s="99" t="s">
        <v>4</v>
      </c>
      <c r="F4" s="104"/>
      <c r="G4" s="104"/>
      <c r="H4" s="98" t="s">
        <v>15</v>
      </c>
      <c r="I4" s="99" t="s">
        <v>4</v>
      </c>
      <c r="J4" s="105"/>
    </row>
    <row r="5" spans="1:10">
      <c r="A5" s="63" t="s">
        <v>17</v>
      </c>
      <c r="B5" s="64" t="s">
        <v>18</v>
      </c>
      <c r="C5" s="64" t="s">
        <v>105</v>
      </c>
      <c r="D5" s="64" t="s">
        <v>45</v>
      </c>
      <c r="E5" s="64" t="s">
        <v>21</v>
      </c>
      <c r="F5" s="206" t="s">
        <v>106</v>
      </c>
      <c r="G5" s="208"/>
      <c r="H5" s="208" t="s">
        <v>23</v>
      </c>
      <c r="I5" s="196" t="s">
        <v>107</v>
      </c>
      <c r="J5" s="50" t="s">
        <v>26</v>
      </c>
    </row>
    <row r="6" ht="14.25" spans="1:10">
      <c r="A6" s="63"/>
      <c r="B6" s="64"/>
      <c r="C6" s="64"/>
      <c r="D6" s="64"/>
      <c r="E6" s="64"/>
      <c r="F6" s="49"/>
      <c r="G6" s="210"/>
      <c r="H6" s="210"/>
      <c r="I6" s="6"/>
      <c r="J6" s="50"/>
    </row>
    <row r="7" spans="1:10">
      <c r="A7" s="171" t="s">
        <v>108</v>
      </c>
      <c r="B7" s="211" t="s">
        <v>109</v>
      </c>
      <c r="C7" s="173" t="s">
        <v>110</v>
      </c>
      <c r="D7" s="173" t="s">
        <v>32</v>
      </c>
      <c r="E7" s="173" t="s">
        <v>111</v>
      </c>
      <c r="F7" s="173" t="s">
        <v>112</v>
      </c>
      <c r="G7" s="173"/>
      <c r="H7" s="173"/>
      <c r="I7" s="201">
        <v>0.363</v>
      </c>
      <c r="J7" s="214">
        <f t="shared" ref="J7:J37" si="0">H7*I7</f>
        <v>0</v>
      </c>
    </row>
    <row r="8" spans="1:10">
      <c r="A8" s="176"/>
      <c r="B8" s="178"/>
      <c r="C8" s="178" t="s">
        <v>110</v>
      </c>
      <c r="D8" s="178" t="s">
        <v>32</v>
      </c>
      <c r="E8" s="178" t="s">
        <v>111</v>
      </c>
      <c r="F8" s="178" t="s">
        <v>113</v>
      </c>
      <c r="G8" s="178"/>
      <c r="H8" s="178"/>
      <c r="I8" s="203">
        <v>0.1512</v>
      </c>
      <c r="J8" s="215">
        <f t="shared" si="0"/>
        <v>0</v>
      </c>
    </row>
    <row r="9" spans="1:10">
      <c r="A9" s="176"/>
      <c r="B9" s="178"/>
      <c r="C9" s="178" t="s">
        <v>114</v>
      </c>
      <c r="D9" s="178" t="s">
        <v>32</v>
      </c>
      <c r="E9" s="178" t="s">
        <v>115</v>
      </c>
      <c r="F9" s="178" t="s">
        <v>116</v>
      </c>
      <c r="G9" s="178"/>
      <c r="H9" s="178"/>
      <c r="I9" s="203">
        <v>0.1155</v>
      </c>
      <c r="J9" s="215">
        <f t="shared" si="0"/>
        <v>0</v>
      </c>
    </row>
    <row r="10" spans="1:10">
      <c r="A10" s="176"/>
      <c r="B10" s="178"/>
      <c r="C10" s="178" t="s">
        <v>117</v>
      </c>
      <c r="D10" s="178" t="s">
        <v>32</v>
      </c>
      <c r="E10" s="178" t="s">
        <v>115</v>
      </c>
      <c r="F10" s="178" t="s">
        <v>118</v>
      </c>
      <c r="G10" s="178"/>
      <c r="H10" s="178"/>
      <c r="I10" s="203">
        <v>0.4765</v>
      </c>
      <c r="J10" s="215">
        <f t="shared" si="0"/>
        <v>0</v>
      </c>
    </row>
    <row r="11" spans="1:10">
      <c r="A11" s="176"/>
      <c r="B11" s="178"/>
      <c r="C11" s="178" t="s">
        <v>119</v>
      </c>
      <c r="D11" s="178" t="s">
        <v>32</v>
      </c>
      <c r="E11" s="178" t="s">
        <v>111</v>
      </c>
      <c r="F11" s="178" t="s">
        <v>120</v>
      </c>
      <c r="G11" s="178"/>
      <c r="H11" s="178"/>
      <c r="I11" s="203">
        <v>0.1798</v>
      </c>
      <c r="J11" s="215">
        <f t="shared" si="0"/>
        <v>0</v>
      </c>
    </row>
    <row r="12" spans="1:10">
      <c r="A12" s="176"/>
      <c r="B12" s="178"/>
      <c r="C12" s="178" t="s">
        <v>121</v>
      </c>
      <c r="D12" s="178" t="s">
        <v>32</v>
      </c>
      <c r="E12" s="178" t="s">
        <v>115</v>
      </c>
      <c r="F12" s="178" t="s">
        <v>122</v>
      </c>
      <c r="G12" s="178"/>
      <c r="H12" s="178"/>
      <c r="I12" s="203">
        <v>0.099</v>
      </c>
      <c r="J12" s="215">
        <f t="shared" si="0"/>
        <v>0</v>
      </c>
    </row>
    <row r="13" spans="1:10">
      <c r="A13" s="176"/>
      <c r="B13" s="178"/>
      <c r="C13" s="178" t="s">
        <v>123</v>
      </c>
      <c r="D13" s="178" t="s">
        <v>32</v>
      </c>
      <c r="E13" s="178" t="s">
        <v>115</v>
      </c>
      <c r="F13" s="178" t="s">
        <v>122</v>
      </c>
      <c r="G13" s="178"/>
      <c r="H13" s="178"/>
      <c r="I13" s="203">
        <v>0.099</v>
      </c>
      <c r="J13" s="215">
        <f t="shared" si="0"/>
        <v>0</v>
      </c>
    </row>
    <row r="14" spans="1:10">
      <c r="A14" s="176"/>
      <c r="B14" s="178"/>
      <c r="C14" s="178" t="s">
        <v>124</v>
      </c>
      <c r="D14" s="178" t="s">
        <v>32</v>
      </c>
      <c r="E14" s="178" t="s">
        <v>115</v>
      </c>
      <c r="F14" s="178" t="s">
        <v>125</v>
      </c>
      <c r="G14" s="178"/>
      <c r="H14" s="178"/>
      <c r="I14" s="203">
        <v>0.0375</v>
      </c>
      <c r="J14" s="215">
        <f t="shared" si="0"/>
        <v>0</v>
      </c>
    </row>
    <row r="15" spans="1:10">
      <c r="A15" s="176"/>
      <c r="B15" s="178"/>
      <c r="C15" s="178" t="s">
        <v>126</v>
      </c>
      <c r="D15" s="178" t="s">
        <v>32</v>
      </c>
      <c r="E15" s="178" t="s">
        <v>115</v>
      </c>
      <c r="F15" s="178" t="s">
        <v>125</v>
      </c>
      <c r="G15" s="178"/>
      <c r="H15" s="178"/>
      <c r="I15" s="203">
        <v>0.0375</v>
      </c>
      <c r="J15" s="215">
        <f t="shared" si="0"/>
        <v>0</v>
      </c>
    </row>
    <row r="16" spans="1:10">
      <c r="A16" s="176"/>
      <c r="B16" s="178"/>
      <c r="C16" s="178" t="s">
        <v>127</v>
      </c>
      <c r="D16" s="178" t="s">
        <v>32</v>
      </c>
      <c r="E16" s="178" t="s">
        <v>115</v>
      </c>
      <c r="F16" s="178" t="s">
        <v>128</v>
      </c>
      <c r="G16" s="178"/>
      <c r="H16" s="178"/>
      <c r="I16" s="203">
        <v>0.1501</v>
      </c>
      <c r="J16" s="215">
        <f t="shared" si="0"/>
        <v>0</v>
      </c>
    </row>
    <row r="17" spans="1:10">
      <c r="A17" s="176"/>
      <c r="B17" s="178"/>
      <c r="C17" s="178" t="s">
        <v>129</v>
      </c>
      <c r="D17" s="178" t="s">
        <v>32</v>
      </c>
      <c r="E17" s="178" t="s">
        <v>115</v>
      </c>
      <c r="F17" s="178" t="s">
        <v>130</v>
      </c>
      <c r="G17" s="178"/>
      <c r="H17" s="178"/>
      <c r="I17" s="203">
        <v>0.037</v>
      </c>
      <c r="J17" s="215">
        <f t="shared" si="0"/>
        <v>0</v>
      </c>
    </row>
    <row r="18" spans="1:10">
      <c r="A18" s="176"/>
      <c r="B18" s="178"/>
      <c r="C18" s="178" t="s">
        <v>131</v>
      </c>
      <c r="D18" s="178" t="s">
        <v>32</v>
      </c>
      <c r="E18" s="178" t="s">
        <v>115</v>
      </c>
      <c r="F18" s="178" t="s">
        <v>132</v>
      </c>
      <c r="G18" s="178"/>
      <c r="H18" s="178"/>
      <c r="I18" s="203">
        <v>0.037</v>
      </c>
      <c r="J18" s="215">
        <f t="shared" si="0"/>
        <v>0</v>
      </c>
    </row>
    <row r="19" spans="1:10">
      <c r="A19" s="176"/>
      <c r="B19" s="178"/>
      <c r="C19" s="178" t="s">
        <v>114</v>
      </c>
      <c r="D19" s="178" t="s">
        <v>32</v>
      </c>
      <c r="E19" s="178" t="s">
        <v>115</v>
      </c>
      <c r="F19" s="178" t="s">
        <v>133</v>
      </c>
      <c r="G19" s="178"/>
      <c r="H19" s="178"/>
      <c r="I19" s="203">
        <v>0.1932</v>
      </c>
      <c r="J19" s="215">
        <f t="shared" si="0"/>
        <v>0</v>
      </c>
    </row>
    <row r="20" spans="1:10">
      <c r="A20" s="176"/>
      <c r="B20" s="178"/>
      <c r="C20" s="178" t="s">
        <v>134</v>
      </c>
      <c r="D20" s="178" t="s">
        <v>32</v>
      </c>
      <c r="E20" s="178" t="s">
        <v>115</v>
      </c>
      <c r="F20" s="178" t="s">
        <v>135</v>
      </c>
      <c r="G20" s="178"/>
      <c r="H20" s="178"/>
      <c r="I20" s="203">
        <v>0.1426</v>
      </c>
      <c r="J20" s="215">
        <f t="shared" si="0"/>
        <v>0</v>
      </c>
    </row>
    <row r="21" spans="1:10">
      <c r="A21" s="176"/>
      <c r="B21" s="178"/>
      <c r="C21" s="178" t="s">
        <v>129</v>
      </c>
      <c r="D21" s="178" t="s">
        <v>32</v>
      </c>
      <c r="E21" s="178" t="s">
        <v>115</v>
      </c>
      <c r="F21" s="178" t="s">
        <v>136</v>
      </c>
      <c r="G21" s="178"/>
      <c r="H21" s="178"/>
      <c r="I21" s="203">
        <v>0.2653</v>
      </c>
      <c r="J21" s="215">
        <f t="shared" si="0"/>
        <v>0</v>
      </c>
    </row>
    <row r="22" spans="1:10">
      <c r="A22" s="176"/>
      <c r="B22" s="178"/>
      <c r="C22" s="178" t="s">
        <v>137</v>
      </c>
      <c r="D22" s="178" t="s">
        <v>32</v>
      </c>
      <c r="E22" s="178" t="s">
        <v>115</v>
      </c>
      <c r="F22" s="178" t="s">
        <v>138</v>
      </c>
      <c r="G22" s="178"/>
      <c r="H22" s="178"/>
      <c r="I22" s="203">
        <v>1.2659</v>
      </c>
      <c r="J22" s="215">
        <f t="shared" si="0"/>
        <v>0</v>
      </c>
    </row>
    <row r="23" spans="1:10">
      <c r="A23" s="176"/>
      <c r="B23" s="178"/>
      <c r="C23" s="178" t="s">
        <v>139</v>
      </c>
      <c r="D23" s="178" t="s">
        <v>32</v>
      </c>
      <c r="E23" s="178" t="s">
        <v>111</v>
      </c>
      <c r="F23" s="178" t="s">
        <v>140</v>
      </c>
      <c r="G23" s="178"/>
      <c r="H23" s="178"/>
      <c r="I23" s="203">
        <v>0.1085</v>
      </c>
      <c r="J23" s="215">
        <f t="shared" si="0"/>
        <v>0</v>
      </c>
    </row>
    <row r="24" spans="1:10">
      <c r="A24" s="176"/>
      <c r="B24" s="178"/>
      <c r="C24" s="178" t="s">
        <v>114</v>
      </c>
      <c r="D24" s="178" t="s">
        <v>32</v>
      </c>
      <c r="E24" s="178" t="s">
        <v>115</v>
      </c>
      <c r="F24" s="178" t="s">
        <v>141</v>
      </c>
      <c r="G24" s="178"/>
      <c r="H24" s="178"/>
      <c r="I24" s="203">
        <v>0.039</v>
      </c>
      <c r="J24" s="215">
        <f t="shared" si="0"/>
        <v>0</v>
      </c>
    </row>
    <row r="25" spans="1:10">
      <c r="A25" s="176"/>
      <c r="B25" s="178"/>
      <c r="C25" s="178" t="s">
        <v>142</v>
      </c>
      <c r="D25" s="178" t="s">
        <v>32</v>
      </c>
      <c r="E25" s="178" t="s">
        <v>115</v>
      </c>
      <c r="F25" s="178" t="s">
        <v>143</v>
      </c>
      <c r="G25" s="178"/>
      <c r="H25" s="178"/>
      <c r="I25" s="203">
        <v>0.1386</v>
      </c>
      <c r="J25" s="215">
        <f t="shared" si="0"/>
        <v>0</v>
      </c>
    </row>
    <row r="26" spans="1:10">
      <c r="A26" s="176"/>
      <c r="B26" s="178"/>
      <c r="C26" s="178" t="s">
        <v>134</v>
      </c>
      <c r="D26" s="178" t="s">
        <v>32</v>
      </c>
      <c r="E26" s="178" t="s">
        <v>115</v>
      </c>
      <c r="F26" s="178" t="s">
        <v>144</v>
      </c>
      <c r="G26" s="178"/>
      <c r="H26" s="178"/>
      <c r="I26" s="203">
        <v>0.0825</v>
      </c>
      <c r="J26" s="215">
        <f t="shared" si="0"/>
        <v>0</v>
      </c>
    </row>
    <row r="27" spans="1:10">
      <c r="A27" s="176"/>
      <c r="B27" s="178"/>
      <c r="C27" s="178" t="s">
        <v>145</v>
      </c>
      <c r="D27" s="178" t="s">
        <v>32</v>
      </c>
      <c r="E27" s="178" t="s">
        <v>115</v>
      </c>
      <c r="F27" s="178" t="s">
        <v>130</v>
      </c>
      <c r="G27" s="178"/>
      <c r="H27" s="178"/>
      <c r="I27" s="203">
        <v>0.037</v>
      </c>
      <c r="J27" s="215">
        <f t="shared" si="0"/>
        <v>0</v>
      </c>
    </row>
    <row r="28" spans="1:10">
      <c r="A28" s="176"/>
      <c r="B28" s="178"/>
      <c r="C28" s="178" t="s">
        <v>146</v>
      </c>
      <c r="D28" s="178" t="s">
        <v>32</v>
      </c>
      <c r="E28" s="178" t="s">
        <v>115</v>
      </c>
      <c r="F28" s="178" t="s">
        <v>147</v>
      </c>
      <c r="G28" s="178"/>
      <c r="H28" s="178"/>
      <c r="I28" s="203">
        <v>0.0592</v>
      </c>
      <c r="J28" s="215">
        <f t="shared" si="0"/>
        <v>0</v>
      </c>
    </row>
    <row r="29" spans="1:10">
      <c r="A29" s="176"/>
      <c r="B29" s="178"/>
      <c r="C29" s="178" t="s">
        <v>31</v>
      </c>
      <c r="D29" s="178" t="s">
        <v>32</v>
      </c>
      <c r="E29" s="178" t="s">
        <v>111</v>
      </c>
      <c r="F29" s="178" t="s">
        <v>148</v>
      </c>
      <c r="G29" s="178"/>
      <c r="H29" s="178"/>
      <c r="I29" s="203">
        <v>0.109</v>
      </c>
      <c r="J29" s="215">
        <f t="shared" si="0"/>
        <v>0</v>
      </c>
    </row>
    <row r="30" spans="1:10">
      <c r="A30" s="176"/>
      <c r="B30" s="178"/>
      <c r="C30" s="178" t="s">
        <v>35</v>
      </c>
      <c r="D30" s="178" t="s">
        <v>32</v>
      </c>
      <c r="E30" s="178" t="s">
        <v>111</v>
      </c>
      <c r="F30" s="178" t="s">
        <v>148</v>
      </c>
      <c r="G30" s="178"/>
      <c r="H30" s="178"/>
      <c r="I30" s="203">
        <v>0.109</v>
      </c>
      <c r="J30" s="215">
        <f t="shared" si="0"/>
        <v>0</v>
      </c>
    </row>
    <row r="31" spans="1:10">
      <c r="A31" s="176"/>
      <c r="B31" s="178"/>
      <c r="C31" s="178" t="s">
        <v>114</v>
      </c>
      <c r="D31" s="178" t="s">
        <v>32</v>
      </c>
      <c r="E31" s="178" t="s">
        <v>115</v>
      </c>
      <c r="F31" s="178" t="s">
        <v>149</v>
      </c>
      <c r="G31" s="178"/>
      <c r="H31" s="178"/>
      <c r="I31" s="203">
        <v>0.1317</v>
      </c>
      <c r="J31" s="215">
        <f t="shared" si="0"/>
        <v>0</v>
      </c>
    </row>
    <row r="32" spans="1:10">
      <c r="A32" s="176"/>
      <c r="B32" s="178"/>
      <c r="C32" s="178" t="s">
        <v>142</v>
      </c>
      <c r="D32" s="178" t="s">
        <v>32</v>
      </c>
      <c r="E32" s="178" t="s">
        <v>115</v>
      </c>
      <c r="F32" s="178" t="s">
        <v>150</v>
      </c>
      <c r="G32" s="178"/>
      <c r="H32" s="178"/>
      <c r="I32" s="203">
        <v>0.0888</v>
      </c>
      <c r="J32" s="215">
        <f t="shared" si="0"/>
        <v>0</v>
      </c>
    </row>
    <row r="33" spans="1:10">
      <c r="A33" s="176"/>
      <c r="B33" s="178"/>
      <c r="C33" s="178" t="s">
        <v>47</v>
      </c>
      <c r="D33" s="178" t="s">
        <v>48</v>
      </c>
      <c r="E33" s="178" t="s">
        <v>48</v>
      </c>
      <c r="F33" s="178" t="s">
        <v>49</v>
      </c>
      <c r="G33" s="178"/>
      <c r="H33" s="178"/>
      <c r="I33" s="178">
        <v>82</v>
      </c>
      <c r="J33" s="215">
        <f t="shared" si="0"/>
        <v>0</v>
      </c>
    </row>
    <row r="34" spans="1:10">
      <c r="A34" s="176"/>
      <c r="B34" s="178"/>
      <c r="C34" s="178" t="s">
        <v>50</v>
      </c>
      <c r="D34" s="178" t="s">
        <v>51</v>
      </c>
      <c r="E34" s="178" t="s">
        <v>51</v>
      </c>
      <c r="F34" s="178" t="s">
        <v>52</v>
      </c>
      <c r="G34" s="178"/>
      <c r="H34" s="178"/>
      <c r="I34" s="178">
        <v>2</v>
      </c>
      <c r="J34" s="215">
        <f t="shared" si="0"/>
        <v>0</v>
      </c>
    </row>
    <row r="35" spans="1:10">
      <c r="A35" s="176"/>
      <c r="B35" s="178"/>
      <c r="C35" s="178" t="s">
        <v>53</v>
      </c>
      <c r="D35" s="178" t="s">
        <v>48</v>
      </c>
      <c r="E35" s="178" t="s">
        <v>48</v>
      </c>
      <c r="F35" s="178" t="s">
        <v>54</v>
      </c>
      <c r="G35" s="178"/>
      <c r="H35" s="178"/>
      <c r="I35" s="178">
        <v>1</v>
      </c>
      <c r="J35" s="215">
        <f t="shared" si="0"/>
        <v>0</v>
      </c>
    </row>
    <row r="36" spans="1:10">
      <c r="A36" s="176"/>
      <c r="B36" s="178"/>
      <c r="C36" s="178" t="s">
        <v>151</v>
      </c>
      <c r="D36" s="178" t="s">
        <v>56</v>
      </c>
      <c r="E36" s="178" t="s">
        <v>56</v>
      </c>
      <c r="F36" s="178" t="s">
        <v>152</v>
      </c>
      <c r="G36" s="178"/>
      <c r="H36" s="178"/>
      <c r="I36" s="178">
        <v>3</v>
      </c>
      <c r="J36" s="215">
        <f t="shared" si="0"/>
        <v>0</v>
      </c>
    </row>
    <row r="37" spans="1:10">
      <c r="A37" s="176"/>
      <c r="B37" s="178"/>
      <c r="C37" s="178" t="s">
        <v>55</v>
      </c>
      <c r="D37" s="178" t="s">
        <v>56</v>
      </c>
      <c r="E37" s="178" t="s">
        <v>56</v>
      </c>
      <c r="F37" s="178" t="s">
        <v>57</v>
      </c>
      <c r="G37" s="178"/>
      <c r="H37" s="178"/>
      <c r="I37" s="178">
        <v>4</v>
      </c>
      <c r="J37" s="215">
        <f t="shared" si="0"/>
        <v>0</v>
      </c>
    </row>
    <row r="38" ht="14.25" spans="1:10">
      <c r="A38" s="224" t="s">
        <v>153</v>
      </c>
      <c r="B38" s="225"/>
      <c r="C38" s="225"/>
      <c r="D38" s="225"/>
      <c r="E38" s="225"/>
      <c r="F38" s="225"/>
      <c r="G38" s="225"/>
      <c r="H38" s="225"/>
      <c r="I38" s="225"/>
      <c r="J38" s="226">
        <f>SUM(J7:J37)</f>
        <v>0</v>
      </c>
    </row>
    <row r="40" spans="1:10">
      <c r="A40" s="63" t="s">
        <v>17</v>
      </c>
      <c r="B40" s="64" t="s">
        <v>18</v>
      </c>
      <c r="C40" s="64" t="s">
        <v>105</v>
      </c>
      <c r="D40" s="64" t="s">
        <v>45</v>
      </c>
      <c r="E40" s="64" t="s">
        <v>21</v>
      </c>
      <c r="F40" s="206" t="s">
        <v>106</v>
      </c>
      <c r="G40" s="208"/>
      <c r="H40" s="208" t="s">
        <v>23</v>
      </c>
      <c r="I40" s="196" t="s">
        <v>107</v>
      </c>
      <c r="J40" s="50" t="s">
        <v>26</v>
      </c>
    </row>
    <row r="41" ht="14.25" spans="1:10">
      <c r="A41" s="63"/>
      <c r="B41" s="64"/>
      <c r="C41" s="64"/>
      <c r="D41" s="64"/>
      <c r="E41" s="64"/>
      <c r="F41" s="49"/>
      <c r="G41" s="210"/>
      <c r="H41" s="210"/>
      <c r="I41" s="6"/>
      <c r="J41" s="50"/>
    </row>
    <row r="42" spans="1:10">
      <c r="A42" s="171" t="s">
        <v>154</v>
      </c>
      <c r="B42" s="211" t="s">
        <v>155</v>
      </c>
      <c r="C42" s="173" t="s">
        <v>110</v>
      </c>
      <c r="D42" s="173" t="s">
        <v>32</v>
      </c>
      <c r="E42" s="173" t="s">
        <v>115</v>
      </c>
      <c r="F42" s="173" t="s">
        <v>156</v>
      </c>
      <c r="G42" s="173"/>
      <c r="H42" s="173"/>
      <c r="I42" s="201">
        <v>0.3406</v>
      </c>
      <c r="J42" s="214">
        <f t="shared" ref="J42:J91" si="1">H42*I42</f>
        <v>0</v>
      </c>
    </row>
    <row r="43" spans="1:10">
      <c r="A43" s="176"/>
      <c r="B43" s="178"/>
      <c r="C43" s="178" t="s">
        <v>114</v>
      </c>
      <c r="D43" s="178" t="s">
        <v>32</v>
      </c>
      <c r="E43" s="178" t="s">
        <v>115</v>
      </c>
      <c r="F43" s="178" t="s">
        <v>157</v>
      </c>
      <c r="G43" s="178"/>
      <c r="H43" s="178"/>
      <c r="I43" s="203">
        <v>0.3142</v>
      </c>
      <c r="J43" s="215">
        <f t="shared" si="1"/>
        <v>0</v>
      </c>
    </row>
    <row r="44" spans="1:10">
      <c r="A44" s="176"/>
      <c r="B44" s="178"/>
      <c r="C44" s="178" t="s">
        <v>117</v>
      </c>
      <c r="D44" s="178" t="s">
        <v>32</v>
      </c>
      <c r="E44" s="178" t="s">
        <v>115</v>
      </c>
      <c r="F44" s="178" t="s">
        <v>158</v>
      </c>
      <c r="G44" s="178"/>
      <c r="H44" s="178"/>
      <c r="I44" s="203">
        <v>1.2962</v>
      </c>
      <c r="J44" s="215">
        <f t="shared" si="1"/>
        <v>0</v>
      </c>
    </row>
    <row r="45" spans="1:10">
      <c r="A45" s="176"/>
      <c r="B45" s="178"/>
      <c r="C45" s="178" t="s">
        <v>114</v>
      </c>
      <c r="D45" s="178" t="s">
        <v>32</v>
      </c>
      <c r="E45" s="178" t="s">
        <v>115</v>
      </c>
      <c r="F45" s="178" t="s">
        <v>159</v>
      </c>
      <c r="G45" s="178"/>
      <c r="H45" s="178"/>
      <c r="I45" s="203">
        <v>0.1856</v>
      </c>
      <c r="J45" s="215">
        <f t="shared" si="1"/>
        <v>0</v>
      </c>
    </row>
    <row r="46" spans="1:10">
      <c r="A46" s="176"/>
      <c r="B46" s="178"/>
      <c r="C46" s="178" t="s">
        <v>129</v>
      </c>
      <c r="D46" s="178" t="s">
        <v>32</v>
      </c>
      <c r="E46" s="178" t="s">
        <v>115</v>
      </c>
      <c r="F46" s="178" t="s">
        <v>160</v>
      </c>
      <c r="G46" s="178"/>
      <c r="H46" s="178"/>
      <c r="I46" s="203">
        <v>0.7537</v>
      </c>
      <c r="J46" s="215">
        <f t="shared" si="1"/>
        <v>0</v>
      </c>
    </row>
    <row r="47" spans="1:10">
      <c r="A47" s="176"/>
      <c r="B47" s="178"/>
      <c r="C47" s="178" t="s">
        <v>114</v>
      </c>
      <c r="D47" s="178" t="s">
        <v>32</v>
      </c>
      <c r="E47" s="178" t="s">
        <v>115</v>
      </c>
      <c r="F47" s="178" t="s">
        <v>161</v>
      </c>
      <c r="G47" s="178"/>
      <c r="H47" s="178"/>
      <c r="I47" s="203">
        <v>0.2787</v>
      </c>
      <c r="J47" s="215">
        <f t="shared" si="1"/>
        <v>0</v>
      </c>
    </row>
    <row r="48" spans="1:10">
      <c r="A48" s="176"/>
      <c r="B48" s="178"/>
      <c r="C48" s="178" t="s">
        <v>129</v>
      </c>
      <c r="D48" s="178" t="s">
        <v>32</v>
      </c>
      <c r="E48" s="178" t="s">
        <v>115</v>
      </c>
      <c r="F48" s="178" t="s">
        <v>162</v>
      </c>
      <c r="G48" s="178"/>
      <c r="H48" s="178"/>
      <c r="I48" s="203">
        <v>0.0991</v>
      </c>
      <c r="J48" s="215">
        <f t="shared" si="1"/>
        <v>0</v>
      </c>
    </row>
    <row r="49" spans="1:10">
      <c r="A49" s="176"/>
      <c r="B49" s="178"/>
      <c r="C49" s="178" t="s">
        <v>131</v>
      </c>
      <c r="D49" s="178" t="s">
        <v>32</v>
      </c>
      <c r="E49" s="178" t="s">
        <v>115</v>
      </c>
      <c r="F49" s="178" t="s">
        <v>163</v>
      </c>
      <c r="G49" s="178"/>
      <c r="H49" s="178"/>
      <c r="I49" s="203">
        <v>0.0991</v>
      </c>
      <c r="J49" s="215">
        <f t="shared" si="1"/>
        <v>0</v>
      </c>
    </row>
    <row r="50" spans="1:10">
      <c r="A50" s="176"/>
      <c r="B50" s="178"/>
      <c r="C50" s="178" t="s">
        <v>114</v>
      </c>
      <c r="D50" s="178" t="s">
        <v>32</v>
      </c>
      <c r="E50" s="178" t="s">
        <v>115</v>
      </c>
      <c r="F50" s="178" t="s">
        <v>164</v>
      </c>
      <c r="G50" s="178"/>
      <c r="H50" s="178"/>
      <c r="I50" s="203">
        <v>0.1934</v>
      </c>
      <c r="J50" s="215">
        <f t="shared" si="1"/>
        <v>0</v>
      </c>
    </row>
    <row r="51" spans="1:10">
      <c r="A51" s="176"/>
      <c r="B51" s="178"/>
      <c r="C51" s="178" t="s">
        <v>165</v>
      </c>
      <c r="D51" s="178" t="s">
        <v>32</v>
      </c>
      <c r="E51" s="178" t="s">
        <v>115</v>
      </c>
      <c r="F51" s="178" t="s">
        <v>166</v>
      </c>
      <c r="G51" s="178"/>
      <c r="H51" s="178"/>
      <c r="I51" s="203">
        <v>0.5636</v>
      </c>
      <c r="J51" s="215">
        <f t="shared" si="1"/>
        <v>0</v>
      </c>
    </row>
    <row r="52" spans="1:10">
      <c r="A52" s="176"/>
      <c r="B52" s="178"/>
      <c r="C52" s="178" t="s">
        <v>129</v>
      </c>
      <c r="D52" s="178" t="s">
        <v>32</v>
      </c>
      <c r="E52" s="178" t="s">
        <v>115</v>
      </c>
      <c r="F52" s="178" t="s">
        <v>167</v>
      </c>
      <c r="G52" s="178"/>
      <c r="H52" s="178"/>
      <c r="I52" s="203">
        <v>0.4317</v>
      </c>
      <c r="J52" s="215">
        <f t="shared" si="1"/>
        <v>0</v>
      </c>
    </row>
    <row r="53" spans="1:10">
      <c r="A53" s="176"/>
      <c r="B53" s="178"/>
      <c r="C53" s="178" t="s">
        <v>114</v>
      </c>
      <c r="D53" s="178" t="s">
        <v>32</v>
      </c>
      <c r="E53" s="178" t="s">
        <v>115</v>
      </c>
      <c r="F53" s="178" t="s">
        <v>168</v>
      </c>
      <c r="G53" s="178"/>
      <c r="H53" s="178"/>
      <c r="I53" s="203">
        <v>0.4823</v>
      </c>
      <c r="J53" s="215">
        <f t="shared" si="1"/>
        <v>0</v>
      </c>
    </row>
    <row r="54" spans="1:10">
      <c r="A54" s="176"/>
      <c r="B54" s="178"/>
      <c r="C54" s="178" t="s">
        <v>129</v>
      </c>
      <c r="D54" s="178" t="s">
        <v>32</v>
      </c>
      <c r="E54" s="178" t="s">
        <v>115</v>
      </c>
      <c r="F54" s="178" t="s">
        <v>169</v>
      </c>
      <c r="G54" s="178"/>
      <c r="H54" s="178"/>
      <c r="I54" s="203">
        <v>0.2542</v>
      </c>
      <c r="J54" s="215">
        <f t="shared" si="1"/>
        <v>0</v>
      </c>
    </row>
    <row r="55" spans="1:10">
      <c r="A55" s="176"/>
      <c r="B55" s="178"/>
      <c r="C55" s="178" t="s">
        <v>114</v>
      </c>
      <c r="D55" s="178" t="s">
        <v>32</v>
      </c>
      <c r="E55" s="178" t="s">
        <v>115</v>
      </c>
      <c r="F55" s="178" t="s">
        <v>170</v>
      </c>
      <c r="G55" s="178"/>
      <c r="H55" s="178"/>
      <c r="I55" s="203">
        <v>0.1956</v>
      </c>
      <c r="J55" s="215">
        <f t="shared" si="1"/>
        <v>0</v>
      </c>
    </row>
    <row r="56" spans="1:10">
      <c r="A56" s="176"/>
      <c r="B56" s="178"/>
      <c r="C56" s="178" t="s">
        <v>114</v>
      </c>
      <c r="D56" s="178" t="s">
        <v>32</v>
      </c>
      <c r="E56" s="178" t="s">
        <v>115</v>
      </c>
      <c r="F56" s="178" t="s">
        <v>171</v>
      </c>
      <c r="G56" s="178"/>
      <c r="H56" s="178"/>
      <c r="I56" s="203">
        <v>0.0908</v>
      </c>
      <c r="J56" s="215">
        <f t="shared" si="1"/>
        <v>0</v>
      </c>
    </row>
    <row r="57" spans="1:10">
      <c r="A57" s="176"/>
      <c r="B57" s="178"/>
      <c r="C57" s="178" t="s">
        <v>129</v>
      </c>
      <c r="D57" s="178" t="s">
        <v>32</v>
      </c>
      <c r="E57" s="178" t="s">
        <v>115</v>
      </c>
      <c r="F57" s="178" t="s">
        <v>172</v>
      </c>
      <c r="G57" s="178"/>
      <c r="H57" s="178"/>
      <c r="I57" s="203">
        <v>0.3637</v>
      </c>
      <c r="J57" s="215">
        <f t="shared" si="1"/>
        <v>0</v>
      </c>
    </row>
    <row r="58" spans="1:10">
      <c r="A58" s="176"/>
      <c r="B58" s="178"/>
      <c r="C58" s="178" t="s">
        <v>114</v>
      </c>
      <c r="D58" s="178" t="s">
        <v>32</v>
      </c>
      <c r="E58" s="178" t="s">
        <v>115</v>
      </c>
      <c r="F58" s="178" t="s">
        <v>173</v>
      </c>
      <c r="G58" s="178"/>
      <c r="H58" s="178"/>
      <c r="I58" s="203">
        <v>0.1363</v>
      </c>
      <c r="J58" s="215">
        <f t="shared" si="1"/>
        <v>0</v>
      </c>
    </row>
    <row r="59" spans="1:10">
      <c r="A59" s="176"/>
      <c r="B59" s="178"/>
      <c r="C59" s="178" t="s">
        <v>114</v>
      </c>
      <c r="D59" s="178" t="s">
        <v>32</v>
      </c>
      <c r="E59" s="178" t="s">
        <v>115</v>
      </c>
      <c r="F59" s="178" t="s">
        <v>174</v>
      </c>
      <c r="G59" s="178"/>
      <c r="H59" s="178"/>
      <c r="I59" s="203">
        <v>0.0946</v>
      </c>
      <c r="J59" s="215">
        <f t="shared" si="1"/>
        <v>0</v>
      </c>
    </row>
    <row r="60" spans="1:10">
      <c r="A60" s="176"/>
      <c r="B60" s="178"/>
      <c r="C60" s="178" t="s">
        <v>134</v>
      </c>
      <c r="D60" s="178" t="s">
        <v>32</v>
      </c>
      <c r="E60" s="178" t="s">
        <v>115</v>
      </c>
      <c r="F60" s="178" t="s">
        <v>156</v>
      </c>
      <c r="G60" s="178"/>
      <c r="H60" s="178"/>
      <c r="I60" s="203">
        <v>0.3406</v>
      </c>
      <c r="J60" s="215">
        <f t="shared" si="1"/>
        <v>0</v>
      </c>
    </row>
    <row r="61" spans="1:10">
      <c r="A61" s="176"/>
      <c r="B61" s="178"/>
      <c r="C61" s="178" t="s">
        <v>129</v>
      </c>
      <c r="D61" s="178" t="s">
        <v>32</v>
      </c>
      <c r="E61" s="178" t="s">
        <v>115</v>
      </c>
      <c r="F61" s="178" t="s">
        <v>175</v>
      </c>
      <c r="G61" s="178"/>
      <c r="H61" s="178"/>
      <c r="I61" s="203">
        <v>0.7</v>
      </c>
      <c r="J61" s="215">
        <f t="shared" si="1"/>
        <v>0</v>
      </c>
    </row>
    <row r="62" spans="1:10">
      <c r="A62" s="176"/>
      <c r="B62" s="178"/>
      <c r="C62" s="178" t="s">
        <v>114</v>
      </c>
      <c r="D62" s="178" t="s">
        <v>32</v>
      </c>
      <c r="E62" s="178" t="s">
        <v>115</v>
      </c>
      <c r="F62" s="178" t="s">
        <v>176</v>
      </c>
      <c r="G62" s="178"/>
      <c r="H62" s="178"/>
      <c r="I62" s="203">
        <v>1.02</v>
      </c>
      <c r="J62" s="215">
        <f t="shared" si="1"/>
        <v>0</v>
      </c>
    </row>
    <row r="63" spans="1:10">
      <c r="A63" s="176"/>
      <c r="B63" s="178"/>
      <c r="C63" s="178" t="s">
        <v>139</v>
      </c>
      <c r="D63" s="178" t="s">
        <v>32</v>
      </c>
      <c r="E63" s="178" t="s">
        <v>115</v>
      </c>
      <c r="F63" s="178" t="s">
        <v>177</v>
      </c>
      <c r="G63" s="178"/>
      <c r="H63" s="178"/>
      <c r="I63" s="203">
        <v>0.2673</v>
      </c>
      <c r="J63" s="215">
        <f t="shared" si="1"/>
        <v>0</v>
      </c>
    </row>
    <row r="64" spans="1:10">
      <c r="A64" s="176"/>
      <c r="B64" s="178"/>
      <c r="C64" s="178" t="s">
        <v>129</v>
      </c>
      <c r="D64" s="178" t="s">
        <v>32</v>
      </c>
      <c r="E64" s="178" t="s">
        <v>115</v>
      </c>
      <c r="F64" s="178" t="s">
        <v>178</v>
      </c>
      <c r="G64" s="178"/>
      <c r="H64" s="178"/>
      <c r="I64" s="203">
        <v>0.2288</v>
      </c>
      <c r="J64" s="215">
        <f t="shared" si="1"/>
        <v>0</v>
      </c>
    </row>
    <row r="65" spans="1:10">
      <c r="A65" s="176"/>
      <c r="B65" s="178"/>
      <c r="C65" s="178" t="s">
        <v>114</v>
      </c>
      <c r="D65" s="178" t="s">
        <v>32</v>
      </c>
      <c r="E65" s="178" t="s">
        <v>115</v>
      </c>
      <c r="F65" s="178" t="s">
        <v>179</v>
      </c>
      <c r="G65" s="178"/>
      <c r="H65" s="178"/>
      <c r="I65" s="203">
        <v>0.4886</v>
      </c>
      <c r="J65" s="215">
        <f t="shared" si="1"/>
        <v>0</v>
      </c>
    </row>
    <row r="66" spans="1:10">
      <c r="A66" s="176"/>
      <c r="B66" s="178"/>
      <c r="C66" s="178" t="s">
        <v>180</v>
      </c>
      <c r="D66" s="178" t="s">
        <v>32</v>
      </c>
      <c r="E66" s="178" t="s">
        <v>115</v>
      </c>
      <c r="F66" s="178" t="s">
        <v>181</v>
      </c>
      <c r="G66" s="178"/>
      <c r="H66" s="178"/>
      <c r="I66" s="203">
        <v>0.1237</v>
      </c>
      <c r="J66" s="215">
        <f t="shared" si="1"/>
        <v>0</v>
      </c>
    </row>
    <row r="67" spans="1:10">
      <c r="A67" s="176"/>
      <c r="B67" s="178"/>
      <c r="C67" s="178" t="s">
        <v>165</v>
      </c>
      <c r="D67" s="178" t="s">
        <v>32</v>
      </c>
      <c r="E67" s="178" t="s">
        <v>115</v>
      </c>
      <c r="F67" s="178" t="s">
        <v>182</v>
      </c>
      <c r="G67" s="178"/>
      <c r="H67" s="178"/>
      <c r="I67" s="203">
        <v>0.5108</v>
      </c>
      <c r="J67" s="215">
        <f t="shared" si="1"/>
        <v>0</v>
      </c>
    </row>
    <row r="68" spans="1:10">
      <c r="A68" s="176"/>
      <c r="B68" s="178"/>
      <c r="C68" s="178" t="s">
        <v>114</v>
      </c>
      <c r="D68" s="178" t="s">
        <v>32</v>
      </c>
      <c r="E68" s="178" t="s">
        <v>115</v>
      </c>
      <c r="F68" s="178" t="s">
        <v>183</v>
      </c>
      <c r="G68" s="178"/>
      <c r="H68" s="178"/>
      <c r="I68" s="203">
        <v>0.4942</v>
      </c>
      <c r="J68" s="215">
        <f t="shared" si="1"/>
        <v>0</v>
      </c>
    </row>
    <row r="69" spans="1:10">
      <c r="A69" s="176"/>
      <c r="B69" s="178"/>
      <c r="C69" s="178" t="s">
        <v>180</v>
      </c>
      <c r="D69" s="178" t="s">
        <v>32</v>
      </c>
      <c r="E69" s="178" t="s">
        <v>115</v>
      </c>
      <c r="F69" s="178" t="s">
        <v>184</v>
      </c>
      <c r="G69" s="178"/>
      <c r="H69" s="178"/>
      <c r="I69" s="203">
        <v>0.1251</v>
      </c>
      <c r="J69" s="215">
        <f t="shared" si="1"/>
        <v>0</v>
      </c>
    </row>
    <row r="70" spans="1:10">
      <c r="A70" s="176"/>
      <c r="B70" s="178"/>
      <c r="C70" s="178" t="s">
        <v>129</v>
      </c>
      <c r="D70" s="178" t="s">
        <v>32</v>
      </c>
      <c r="E70" s="178" t="s">
        <v>115</v>
      </c>
      <c r="F70" s="178" t="s">
        <v>185</v>
      </c>
      <c r="G70" s="178"/>
      <c r="H70" s="178"/>
      <c r="I70" s="203">
        <v>0.1104</v>
      </c>
      <c r="J70" s="215">
        <f t="shared" si="1"/>
        <v>0</v>
      </c>
    </row>
    <row r="71" spans="1:10">
      <c r="A71" s="176"/>
      <c r="B71" s="178"/>
      <c r="C71" s="178" t="s">
        <v>114</v>
      </c>
      <c r="D71" s="178" t="s">
        <v>32</v>
      </c>
      <c r="E71" s="178" t="s">
        <v>115</v>
      </c>
      <c r="F71" s="178" t="s">
        <v>186</v>
      </c>
      <c r="G71" s="178"/>
      <c r="H71" s="178"/>
      <c r="I71" s="203">
        <v>0.239</v>
      </c>
      <c r="J71" s="215">
        <f t="shared" si="1"/>
        <v>0</v>
      </c>
    </row>
    <row r="72" spans="1:10">
      <c r="A72" s="176"/>
      <c r="B72" s="178"/>
      <c r="C72" s="178" t="s">
        <v>180</v>
      </c>
      <c r="D72" s="178" t="s">
        <v>32</v>
      </c>
      <c r="E72" s="178" t="s">
        <v>115</v>
      </c>
      <c r="F72" s="178" t="s">
        <v>187</v>
      </c>
      <c r="G72" s="178"/>
      <c r="H72" s="178"/>
      <c r="I72" s="203">
        <v>0.0597</v>
      </c>
      <c r="J72" s="215">
        <f t="shared" si="1"/>
        <v>0</v>
      </c>
    </row>
    <row r="73" spans="1:10">
      <c r="A73" s="176"/>
      <c r="B73" s="178"/>
      <c r="C73" s="178" t="s">
        <v>142</v>
      </c>
      <c r="D73" s="178" t="s">
        <v>32</v>
      </c>
      <c r="E73" s="178" t="s">
        <v>115</v>
      </c>
      <c r="F73" s="178" t="s">
        <v>188</v>
      </c>
      <c r="G73" s="178"/>
      <c r="H73" s="178"/>
      <c r="I73" s="203">
        <v>0.3771</v>
      </c>
      <c r="J73" s="215">
        <f t="shared" si="1"/>
        <v>0</v>
      </c>
    </row>
    <row r="74" spans="1:10">
      <c r="A74" s="176"/>
      <c r="B74" s="178"/>
      <c r="C74" s="178" t="s">
        <v>134</v>
      </c>
      <c r="D74" s="178" t="s">
        <v>32</v>
      </c>
      <c r="E74" s="178" t="s">
        <v>115</v>
      </c>
      <c r="F74" s="178" t="s">
        <v>177</v>
      </c>
      <c r="G74" s="178"/>
      <c r="H74" s="178"/>
      <c r="I74" s="203">
        <v>0.2673</v>
      </c>
      <c r="J74" s="215">
        <f t="shared" si="1"/>
        <v>0</v>
      </c>
    </row>
    <row r="75" spans="1:10">
      <c r="A75" s="176"/>
      <c r="B75" s="178"/>
      <c r="C75" s="178" t="s">
        <v>145</v>
      </c>
      <c r="D75" s="178" t="s">
        <v>32</v>
      </c>
      <c r="E75" s="178" t="s">
        <v>115</v>
      </c>
      <c r="F75" s="178" t="s">
        <v>189</v>
      </c>
      <c r="G75" s="178"/>
      <c r="H75" s="178"/>
      <c r="I75" s="203">
        <v>0.1</v>
      </c>
      <c r="J75" s="215">
        <f t="shared" si="1"/>
        <v>0</v>
      </c>
    </row>
    <row r="76" spans="1:10">
      <c r="A76" s="176"/>
      <c r="B76" s="178"/>
      <c r="C76" s="178" t="s">
        <v>146</v>
      </c>
      <c r="D76" s="178" t="s">
        <v>32</v>
      </c>
      <c r="E76" s="178" t="s">
        <v>115</v>
      </c>
      <c r="F76" s="178" t="s">
        <v>190</v>
      </c>
      <c r="G76" s="178"/>
      <c r="H76" s="178"/>
      <c r="I76" s="203">
        <v>0.16</v>
      </c>
      <c r="J76" s="215">
        <f t="shared" si="1"/>
        <v>0</v>
      </c>
    </row>
    <row r="77" spans="1:10">
      <c r="A77" s="176"/>
      <c r="B77" s="178"/>
      <c r="C77" s="178" t="s">
        <v>31</v>
      </c>
      <c r="D77" s="178" t="s">
        <v>32</v>
      </c>
      <c r="E77" s="178" t="s">
        <v>33</v>
      </c>
      <c r="F77" s="178" t="s">
        <v>191</v>
      </c>
      <c r="G77" s="178"/>
      <c r="H77" s="178"/>
      <c r="I77" s="203">
        <v>0.3402</v>
      </c>
      <c r="J77" s="215">
        <f t="shared" si="1"/>
        <v>0</v>
      </c>
    </row>
    <row r="78" spans="1:10">
      <c r="A78" s="176"/>
      <c r="B78" s="178"/>
      <c r="C78" s="178" t="s">
        <v>35</v>
      </c>
      <c r="D78" s="178" t="s">
        <v>32</v>
      </c>
      <c r="E78" s="178" t="s">
        <v>33</v>
      </c>
      <c r="F78" s="178" t="s">
        <v>191</v>
      </c>
      <c r="G78" s="178"/>
      <c r="H78" s="178"/>
      <c r="I78" s="203">
        <v>0.3402</v>
      </c>
      <c r="J78" s="215">
        <f t="shared" si="1"/>
        <v>0</v>
      </c>
    </row>
    <row r="79" spans="1:10">
      <c r="A79" s="176"/>
      <c r="B79" s="178"/>
      <c r="C79" s="178" t="s">
        <v>31</v>
      </c>
      <c r="D79" s="178" t="s">
        <v>32</v>
      </c>
      <c r="E79" s="178" t="s">
        <v>111</v>
      </c>
      <c r="F79" s="178" t="s">
        <v>191</v>
      </c>
      <c r="G79" s="178"/>
      <c r="H79" s="178"/>
      <c r="I79" s="203">
        <v>0.3402</v>
      </c>
      <c r="J79" s="215">
        <f t="shared" si="1"/>
        <v>0</v>
      </c>
    </row>
    <row r="80" spans="1:10">
      <c r="A80" s="176"/>
      <c r="B80" s="178"/>
      <c r="C80" s="178" t="s">
        <v>35</v>
      </c>
      <c r="D80" s="178" t="s">
        <v>32</v>
      </c>
      <c r="E80" s="178" t="s">
        <v>111</v>
      </c>
      <c r="F80" s="178" t="s">
        <v>191</v>
      </c>
      <c r="G80" s="178"/>
      <c r="H80" s="178"/>
      <c r="I80" s="203">
        <v>0.6805</v>
      </c>
      <c r="J80" s="215">
        <f t="shared" si="1"/>
        <v>0</v>
      </c>
    </row>
    <row r="81" spans="1:10">
      <c r="A81" s="176"/>
      <c r="B81" s="178"/>
      <c r="C81" s="178" t="s">
        <v>31</v>
      </c>
      <c r="D81" s="178" t="s">
        <v>32</v>
      </c>
      <c r="E81" s="178" t="s">
        <v>111</v>
      </c>
      <c r="F81" s="178" t="s">
        <v>192</v>
      </c>
      <c r="G81" s="178"/>
      <c r="H81" s="178"/>
      <c r="I81" s="203">
        <v>0.6701</v>
      </c>
      <c r="J81" s="215">
        <f t="shared" si="1"/>
        <v>0</v>
      </c>
    </row>
    <row r="82" spans="1:10">
      <c r="A82" s="176"/>
      <c r="B82" s="178"/>
      <c r="C82" s="178" t="s">
        <v>35</v>
      </c>
      <c r="D82" s="178" t="s">
        <v>32</v>
      </c>
      <c r="E82" s="178" t="s">
        <v>111</v>
      </c>
      <c r="F82" s="178" t="s">
        <v>192</v>
      </c>
      <c r="G82" s="178"/>
      <c r="H82" s="178"/>
      <c r="I82" s="203">
        <v>1.0052</v>
      </c>
      <c r="J82" s="215">
        <f t="shared" si="1"/>
        <v>0</v>
      </c>
    </row>
    <row r="83" spans="1:10">
      <c r="A83" s="176"/>
      <c r="B83" s="178"/>
      <c r="C83" s="178" t="s">
        <v>114</v>
      </c>
      <c r="D83" s="178" t="s">
        <v>32</v>
      </c>
      <c r="E83" s="178" t="s">
        <v>115</v>
      </c>
      <c r="F83" s="178" t="s">
        <v>193</v>
      </c>
      <c r="G83" s="178"/>
      <c r="H83" s="178"/>
      <c r="I83" s="203">
        <v>0.3496</v>
      </c>
      <c r="J83" s="215">
        <f t="shared" si="1"/>
        <v>0</v>
      </c>
    </row>
    <row r="84" spans="1:10">
      <c r="A84" s="176"/>
      <c r="B84" s="178"/>
      <c r="C84" s="178" t="s">
        <v>142</v>
      </c>
      <c r="D84" s="178" t="s">
        <v>32</v>
      </c>
      <c r="E84" s="178" t="s">
        <v>115</v>
      </c>
      <c r="F84" s="178" t="s">
        <v>194</v>
      </c>
      <c r="G84" s="178"/>
      <c r="H84" s="178"/>
      <c r="I84" s="203">
        <v>0.2357</v>
      </c>
      <c r="J84" s="215">
        <f t="shared" si="1"/>
        <v>0</v>
      </c>
    </row>
    <row r="85" spans="1:10">
      <c r="A85" s="176"/>
      <c r="B85" s="178"/>
      <c r="C85" s="178" t="s">
        <v>47</v>
      </c>
      <c r="D85" s="178" t="s">
        <v>48</v>
      </c>
      <c r="E85" s="178" t="s">
        <v>48</v>
      </c>
      <c r="F85" s="178" t="s">
        <v>49</v>
      </c>
      <c r="G85" s="178"/>
      <c r="H85" s="178"/>
      <c r="I85" s="178">
        <v>166</v>
      </c>
      <c r="J85" s="215">
        <f t="shared" si="1"/>
        <v>0</v>
      </c>
    </row>
    <row r="86" spans="1:10">
      <c r="A86" s="176"/>
      <c r="B86" s="178"/>
      <c r="C86" s="178" t="s">
        <v>50</v>
      </c>
      <c r="D86" s="178" t="s">
        <v>51</v>
      </c>
      <c r="E86" s="178" t="s">
        <v>51</v>
      </c>
      <c r="F86" s="178" t="s">
        <v>58</v>
      </c>
      <c r="G86" s="178"/>
      <c r="H86" s="178"/>
      <c r="I86" s="178">
        <v>2</v>
      </c>
      <c r="J86" s="215">
        <f t="shared" si="1"/>
        <v>0</v>
      </c>
    </row>
    <row r="87" spans="1:10">
      <c r="A87" s="176"/>
      <c r="B87" s="178"/>
      <c r="C87" s="178" t="s">
        <v>59</v>
      </c>
      <c r="D87" s="178" t="s">
        <v>48</v>
      </c>
      <c r="E87" s="178" t="s">
        <v>48</v>
      </c>
      <c r="F87" s="178" t="s">
        <v>60</v>
      </c>
      <c r="G87" s="178"/>
      <c r="H87" s="178"/>
      <c r="I87" s="178">
        <v>8</v>
      </c>
      <c r="J87" s="215">
        <f t="shared" si="1"/>
        <v>0</v>
      </c>
    </row>
    <row r="88" spans="1:10">
      <c r="A88" s="176"/>
      <c r="B88" s="178"/>
      <c r="C88" s="178" t="s">
        <v>50</v>
      </c>
      <c r="D88" s="178" t="s">
        <v>51</v>
      </c>
      <c r="E88" s="178" t="s">
        <v>51</v>
      </c>
      <c r="F88" s="178" t="s">
        <v>61</v>
      </c>
      <c r="G88" s="178"/>
      <c r="H88" s="178"/>
      <c r="I88" s="178">
        <v>1</v>
      </c>
      <c r="J88" s="215">
        <f t="shared" si="1"/>
        <v>0</v>
      </c>
    </row>
    <row r="89" spans="1:10">
      <c r="A89" s="176"/>
      <c r="B89" s="178"/>
      <c r="C89" s="178" t="s">
        <v>55</v>
      </c>
      <c r="D89" s="178" t="s">
        <v>56</v>
      </c>
      <c r="E89" s="178" t="s">
        <v>56</v>
      </c>
      <c r="F89" s="178" t="s">
        <v>57</v>
      </c>
      <c r="G89" s="178"/>
      <c r="H89" s="178"/>
      <c r="I89" s="178">
        <v>8</v>
      </c>
      <c r="J89" s="215">
        <f t="shared" si="1"/>
        <v>0</v>
      </c>
    </row>
    <row r="90" spans="1:10">
      <c r="A90" s="176"/>
      <c r="B90" s="178"/>
      <c r="C90" s="178" t="s">
        <v>151</v>
      </c>
      <c r="D90" s="178" t="s">
        <v>56</v>
      </c>
      <c r="E90" s="178" t="s">
        <v>56</v>
      </c>
      <c r="F90" s="178" t="s">
        <v>152</v>
      </c>
      <c r="G90" s="178"/>
      <c r="H90" s="178"/>
      <c r="I90" s="178">
        <v>10</v>
      </c>
      <c r="J90" s="215">
        <f t="shared" si="1"/>
        <v>0</v>
      </c>
    </row>
    <row r="91" spans="1:10">
      <c r="A91" s="176"/>
      <c r="B91" s="178"/>
      <c r="C91" s="178" t="s">
        <v>55</v>
      </c>
      <c r="D91" s="178" t="s">
        <v>56</v>
      </c>
      <c r="E91" s="178" t="s">
        <v>56</v>
      </c>
      <c r="F91" s="178" t="s">
        <v>62</v>
      </c>
      <c r="G91" s="178"/>
      <c r="H91" s="178"/>
      <c r="I91" s="178">
        <v>12</v>
      </c>
      <c r="J91" s="215">
        <f t="shared" si="1"/>
        <v>0</v>
      </c>
    </row>
    <row r="92" ht="14.25" spans="1:10">
      <c r="A92" s="224" t="s">
        <v>195</v>
      </c>
      <c r="B92" s="225"/>
      <c r="C92" s="225"/>
      <c r="D92" s="225"/>
      <c r="E92" s="225"/>
      <c r="F92" s="225"/>
      <c r="G92" s="225"/>
      <c r="H92" s="225"/>
      <c r="I92" s="225"/>
      <c r="J92" s="226">
        <f>SUM(J42:J91)</f>
        <v>0</v>
      </c>
    </row>
    <row r="94" spans="1:10">
      <c r="A94" s="63" t="s">
        <v>17</v>
      </c>
      <c r="B94" s="64" t="s">
        <v>18</v>
      </c>
      <c r="C94" s="64" t="s">
        <v>105</v>
      </c>
      <c r="D94" s="64" t="s">
        <v>45</v>
      </c>
      <c r="E94" s="64" t="s">
        <v>21</v>
      </c>
      <c r="F94" s="206" t="s">
        <v>106</v>
      </c>
      <c r="G94" s="208"/>
      <c r="H94" s="208" t="s">
        <v>23</v>
      </c>
      <c r="I94" s="196" t="s">
        <v>107</v>
      </c>
      <c r="J94" s="50" t="s">
        <v>26</v>
      </c>
    </row>
    <row r="95" ht="14.25" spans="1:10">
      <c r="A95" s="63"/>
      <c r="B95" s="64"/>
      <c r="C95" s="64"/>
      <c r="D95" s="64"/>
      <c r="E95" s="64"/>
      <c r="F95" s="49"/>
      <c r="G95" s="210"/>
      <c r="H95" s="210"/>
      <c r="I95" s="6"/>
      <c r="J95" s="50"/>
    </row>
    <row r="96" spans="1:10">
      <c r="A96" s="171" t="s">
        <v>196</v>
      </c>
      <c r="B96" s="211" t="s">
        <v>197</v>
      </c>
      <c r="C96" s="173" t="s">
        <v>139</v>
      </c>
      <c r="D96" s="173" t="s">
        <v>32</v>
      </c>
      <c r="E96" s="173" t="s">
        <v>115</v>
      </c>
      <c r="F96" s="173" t="s">
        <v>198</v>
      </c>
      <c r="G96" s="173"/>
      <c r="H96" s="173"/>
      <c r="I96" s="201">
        <v>0.7821</v>
      </c>
      <c r="J96" s="214">
        <f t="shared" ref="J96:J113" si="2">H96*I96</f>
        <v>0</v>
      </c>
    </row>
    <row r="97" spans="1:10">
      <c r="A97" s="176"/>
      <c r="B97" s="178"/>
      <c r="C97" s="178" t="s">
        <v>199</v>
      </c>
      <c r="D97" s="178" t="s">
        <v>32</v>
      </c>
      <c r="E97" s="178" t="s">
        <v>115</v>
      </c>
      <c r="F97" s="178" t="s">
        <v>200</v>
      </c>
      <c r="G97" s="178"/>
      <c r="H97" s="178"/>
      <c r="I97" s="203">
        <v>0.0518</v>
      </c>
      <c r="J97" s="215">
        <f t="shared" si="2"/>
        <v>0</v>
      </c>
    </row>
    <row r="98" spans="1:10">
      <c r="A98" s="176"/>
      <c r="B98" s="178"/>
      <c r="C98" s="178" t="s">
        <v>117</v>
      </c>
      <c r="D98" s="178" t="s">
        <v>32</v>
      </c>
      <c r="E98" s="178" t="s">
        <v>115</v>
      </c>
      <c r="F98" s="178" t="s">
        <v>135</v>
      </c>
      <c r="G98" s="178"/>
      <c r="H98" s="178"/>
      <c r="I98" s="203">
        <v>0.1426</v>
      </c>
      <c r="J98" s="215">
        <f t="shared" si="2"/>
        <v>0</v>
      </c>
    </row>
    <row r="99" spans="1:10">
      <c r="A99" s="176"/>
      <c r="B99" s="178"/>
      <c r="C99" s="178" t="s">
        <v>114</v>
      </c>
      <c r="D99" s="178" t="s">
        <v>32</v>
      </c>
      <c r="E99" s="178" t="s">
        <v>115</v>
      </c>
      <c r="F99" s="178" t="s">
        <v>201</v>
      </c>
      <c r="G99" s="178"/>
      <c r="H99" s="178"/>
      <c r="I99" s="203">
        <v>0.7956</v>
      </c>
      <c r="J99" s="215">
        <f t="shared" si="2"/>
        <v>0</v>
      </c>
    </row>
    <row r="100" spans="1:10">
      <c r="A100" s="176"/>
      <c r="B100" s="178"/>
      <c r="C100" s="178" t="s">
        <v>129</v>
      </c>
      <c r="D100" s="178" t="s">
        <v>32</v>
      </c>
      <c r="E100" s="178" t="s">
        <v>115</v>
      </c>
      <c r="F100" s="178" t="s">
        <v>202</v>
      </c>
      <c r="G100" s="178"/>
      <c r="H100" s="178"/>
      <c r="I100" s="203">
        <v>0.5616</v>
      </c>
      <c r="J100" s="215">
        <f t="shared" si="2"/>
        <v>0</v>
      </c>
    </row>
    <row r="101" spans="1:10">
      <c r="A101" s="176"/>
      <c r="B101" s="178"/>
      <c r="C101" s="178" t="s">
        <v>114</v>
      </c>
      <c r="D101" s="178" t="s">
        <v>32</v>
      </c>
      <c r="E101" s="178" t="s">
        <v>115</v>
      </c>
      <c r="F101" s="178" t="s">
        <v>203</v>
      </c>
      <c r="G101" s="178"/>
      <c r="H101" s="178"/>
      <c r="I101" s="203">
        <v>0.1291</v>
      </c>
      <c r="J101" s="215">
        <f t="shared" si="2"/>
        <v>0</v>
      </c>
    </row>
    <row r="102" spans="1:10">
      <c r="A102" s="176"/>
      <c r="B102" s="178"/>
      <c r="C102" s="178" t="s">
        <v>142</v>
      </c>
      <c r="D102" s="178" t="s">
        <v>32</v>
      </c>
      <c r="E102" s="178" t="s">
        <v>115</v>
      </c>
      <c r="F102" s="178" t="s">
        <v>204</v>
      </c>
      <c r="G102" s="178"/>
      <c r="H102" s="178"/>
      <c r="I102" s="203">
        <v>0.0829</v>
      </c>
      <c r="J102" s="215">
        <f t="shared" si="2"/>
        <v>0</v>
      </c>
    </row>
    <row r="103" spans="1:10">
      <c r="A103" s="176"/>
      <c r="B103" s="178"/>
      <c r="C103" s="178" t="s">
        <v>134</v>
      </c>
      <c r="D103" s="178" t="s">
        <v>32</v>
      </c>
      <c r="E103" s="178" t="s">
        <v>115</v>
      </c>
      <c r="F103" s="178" t="s">
        <v>198</v>
      </c>
      <c r="G103" s="178"/>
      <c r="H103" s="178"/>
      <c r="I103" s="203">
        <v>0.7821</v>
      </c>
      <c r="J103" s="215">
        <f t="shared" si="2"/>
        <v>0</v>
      </c>
    </row>
    <row r="104" spans="1:10">
      <c r="A104" s="176"/>
      <c r="B104" s="178"/>
      <c r="C104" s="178" t="s">
        <v>145</v>
      </c>
      <c r="D104" s="178" t="s">
        <v>32</v>
      </c>
      <c r="E104" s="178" t="s">
        <v>115</v>
      </c>
      <c r="F104" s="178" t="s">
        <v>205</v>
      </c>
      <c r="G104" s="178"/>
      <c r="H104" s="178"/>
      <c r="I104" s="203">
        <v>0.0234</v>
      </c>
      <c r="J104" s="215">
        <f t="shared" si="2"/>
        <v>0</v>
      </c>
    </row>
    <row r="105" spans="1:10">
      <c r="A105" s="176"/>
      <c r="B105" s="178"/>
      <c r="C105" s="178" t="s">
        <v>146</v>
      </c>
      <c r="D105" s="178" t="s">
        <v>32</v>
      </c>
      <c r="E105" s="178" t="s">
        <v>115</v>
      </c>
      <c r="F105" s="178" t="s">
        <v>206</v>
      </c>
      <c r="G105" s="178"/>
      <c r="H105" s="178"/>
      <c r="I105" s="203">
        <v>0.0374</v>
      </c>
      <c r="J105" s="215">
        <f t="shared" si="2"/>
        <v>0</v>
      </c>
    </row>
    <row r="106" spans="1:10">
      <c r="A106" s="176"/>
      <c r="B106" s="178"/>
      <c r="C106" s="178" t="s">
        <v>35</v>
      </c>
      <c r="D106" s="178" t="s">
        <v>32</v>
      </c>
      <c r="E106" s="178" t="s">
        <v>33</v>
      </c>
      <c r="F106" s="178" t="s">
        <v>207</v>
      </c>
      <c r="G106" s="178"/>
      <c r="H106" s="178"/>
      <c r="I106" s="203">
        <v>1.11</v>
      </c>
      <c r="J106" s="215">
        <f t="shared" si="2"/>
        <v>0</v>
      </c>
    </row>
    <row r="107" spans="1:10">
      <c r="A107" s="176"/>
      <c r="B107" s="178"/>
      <c r="C107" s="178" t="s">
        <v>114</v>
      </c>
      <c r="D107" s="178" t="s">
        <v>32</v>
      </c>
      <c r="E107" s="178" t="s">
        <v>115</v>
      </c>
      <c r="F107" s="178" t="s">
        <v>208</v>
      </c>
      <c r="G107" s="178"/>
      <c r="H107" s="178"/>
      <c r="I107" s="203">
        <v>0.0769</v>
      </c>
      <c r="J107" s="215">
        <f t="shared" si="2"/>
        <v>0</v>
      </c>
    </row>
    <row r="108" spans="1:10">
      <c r="A108" s="176"/>
      <c r="B108" s="178"/>
      <c r="C108" s="178" t="s">
        <v>142</v>
      </c>
      <c r="D108" s="178" t="s">
        <v>32</v>
      </c>
      <c r="E108" s="178" t="s">
        <v>115</v>
      </c>
      <c r="F108" s="178" t="s">
        <v>209</v>
      </c>
      <c r="G108" s="178"/>
      <c r="H108" s="178"/>
      <c r="I108" s="203">
        <v>0.0518</v>
      </c>
      <c r="J108" s="215">
        <f t="shared" si="2"/>
        <v>0</v>
      </c>
    </row>
    <row r="109" spans="1:10">
      <c r="A109" s="176"/>
      <c r="B109" s="178"/>
      <c r="C109" s="178" t="s">
        <v>47</v>
      </c>
      <c r="D109" s="178" t="s">
        <v>48</v>
      </c>
      <c r="E109" s="178" t="s">
        <v>48</v>
      </c>
      <c r="F109" s="178" t="s">
        <v>49</v>
      </c>
      <c r="G109" s="178"/>
      <c r="H109" s="178"/>
      <c r="I109" s="178">
        <v>50</v>
      </c>
      <c r="J109" s="215">
        <f t="shared" si="2"/>
        <v>0</v>
      </c>
    </row>
    <row r="110" spans="1:10">
      <c r="A110" s="176"/>
      <c r="B110" s="178"/>
      <c r="C110" s="178" t="s">
        <v>50</v>
      </c>
      <c r="D110" s="178" t="s">
        <v>51</v>
      </c>
      <c r="E110" s="178" t="s">
        <v>51</v>
      </c>
      <c r="F110" s="178" t="s">
        <v>63</v>
      </c>
      <c r="G110" s="178"/>
      <c r="H110" s="178"/>
      <c r="I110" s="178">
        <v>5</v>
      </c>
      <c r="J110" s="215">
        <f t="shared" si="2"/>
        <v>0</v>
      </c>
    </row>
    <row r="111" spans="1:10">
      <c r="A111" s="176"/>
      <c r="B111" s="178"/>
      <c r="C111" s="178" t="s">
        <v>50</v>
      </c>
      <c r="D111" s="178" t="s">
        <v>51</v>
      </c>
      <c r="E111" s="178" t="s">
        <v>51</v>
      </c>
      <c r="F111" s="178" t="s">
        <v>64</v>
      </c>
      <c r="G111" s="178"/>
      <c r="H111" s="178"/>
      <c r="I111" s="178">
        <v>1</v>
      </c>
      <c r="J111" s="215">
        <f t="shared" si="2"/>
        <v>0</v>
      </c>
    </row>
    <row r="112" spans="1:10">
      <c r="A112" s="176"/>
      <c r="B112" s="178"/>
      <c r="C112" s="178" t="s">
        <v>55</v>
      </c>
      <c r="D112" s="178" t="s">
        <v>56</v>
      </c>
      <c r="E112" s="178" t="s">
        <v>56</v>
      </c>
      <c r="F112" s="178" t="s">
        <v>57</v>
      </c>
      <c r="G112" s="178"/>
      <c r="H112" s="178"/>
      <c r="I112" s="178">
        <v>5</v>
      </c>
      <c r="J112" s="215">
        <f t="shared" si="2"/>
        <v>0</v>
      </c>
    </row>
    <row r="113" spans="1:10">
      <c r="A113" s="176"/>
      <c r="B113" s="178"/>
      <c r="C113" s="178" t="s">
        <v>151</v>
      </c>
      <c r="D113" s="178" t="s">
        <v>56</v>
      </c>
      <c r="E113" s="178" t="s">
        <v>56</v>
      </c>
      <c r="F113" s="178" t="s">
        <v>152</v>
      </c>
      <c r="G113" s="178"/>
      <c r="H113" s="178"/>
      <c r="I113" s="178">
        <v>1</v>
      </c>
      <c r="J113" s="215">
        <f t="shared" si="2"/>
        <v>0</v>
      </c>
    </row>
    <row r="114" ht="14.25" spans="1:10">
      <c r="A114" s="224" t="s">
        <v>210</v>
      </c>
      <c r="B114" s="225"/>
      <c r="C114" s="225"/>
      <c r="D114" s="225"/>
      <c r="E114" s="225"/>
      <c r="F114" s="225"/>
      <c r="G114" s="225"/>
      <c r="H114" s="225"/>
      <c r="I114" s="225"/>
      <c r="J114" s="226">
        <f>SUM(J96:J113)</f>
        <v>0</v>
      </c>
    </row>
    <row r="116" spans="1:10">
      <c r="A116" s="63" t="s">
        <v>17</v>
      </c>
      <c r="B116" s="64" t="s">
        <v>18</v>
      </c>
      <c r="C116" s="64" t="s">
        <v>105</v>
      </c>
      <c r="D116" s="64" t="s">
        <v>45</v>
      </c>
      <c r="E116" s="64" t="s">
        <v>21</v>
      </c>
      <c r="F116" s="206" t="s">
        <v>106</v>
      </c>
      <c r="G116" s="208"/>
      <c r="H116" s="208" t="s">
        <v>23</v>
      </c>
      <c r="I116" s="196" t="s">
        <v>107</v>
      </c>
      <c r="J116" s="50" t="s">
        <v>26</v>
      </c>
    </row>
    <row r="117" ht="14.25" spans="1:10">
      <c r="A117" s="63"/>
      <c r="B117" s="64"/>
      <c r="C117" s="64"/>
      <c r="D117" s="64"/>
      <c r="E117" s="64"/>
      <c r="F117" s="49"/>
      <c r="G117" s="210"/>
      <c r="H117" s="210"/>
      <c r="I117" s="6"/>
      <c r="J117" s="50"/>
    </row>
    <row r="118" spans="1:10">
      <c r="A118" s="171" t="s">
        <v>211</v>
      </c>
      <c r="B118" s="211" t="s">
        <v>212</v>
      </c>
      <c r="C118" s="173" t="s">
        <v>213</v>
      </c>
      <c r="D118" s="173" t="s">
        <v>32</v>
      </c>
      <c r="E118" s="173" t="s">
        <v>111</v>
      </c>
      <c r="F118" s="173" t="s">
        <v>214</v>
      </c>
      <c r="G118" s="173"/>
      <c r="H118" s="173"/>
      <c r="I118" s="201">
        <v>2.6593</v>
      </c>
      <c r="J118" s="214">
        <f t="shared" ref="J118:J125" si="3">H118*I118</f>
        <v>0</v>
      </c>
    </row>
    <row r="119" spans="1:10">
      <c r="A119" s="176"/>
      <c r="B119" s="178"/>
      <c r="C119" s="178" t="s">
        <v>215</v>
      </c>
      <c r="D119" s="178" t="s">
        <v>32</v>
      </c>
      <c r="E119" s="178" t="s">
        <v>115</v>
      </c>
      <c r="F119" s="178" t="s">
        <v>216</v>
      </c>
      <c r="G119" s="178"/>
      <c r="H119" s="178"/>
      <c r="I119" s="203">
        <v>0.0864</v>
      </c>
      <c r="J119" s="215">
        <f t="shared" si="3"/>
        <v>0</v>
      </c>
    </row>
    <row r="120" spans="1:10">
      <c r="A120" s="176"/>
      <c r="B120" s="178"/>
      <c r="C120" s="178" t="s">
        <v>217</v>
      </c>
      <c r="D120" s="178" t="s">
        <v>32</v>
      </c>
      <c r="E120" s="178" t="s">
        <v>115</v>
      </c>
      <c r="F120" s="178" t="s">
        <v>218</v>
      </c>
      <c r="G120" s="178"/>
      <c r="H120" s="178"/>
      <c r="I120" s="203">
        <v>0.414</v>
      </c>
      <c r="J120" s="215">
        <f t="shared" si="3"/>
        <v>0</v>
      </c>
    </row>
    <row r="121" spans="1:10">
      <c r="A121" s="176"/>
      <c r="B121" s="178"/>
      <c r="C121" s="178" t="s">
        <v>114</v>
      </c>
      <c r="D121" s="178" t="s">
        <v>32</v>
      </c>
      <c r="E121" s="178" t="s">
        <v>115</v>
      </c>
      <c r="F121" s="178" t="s">
        <v>219</v>
      </c>
      <c r="G121" s="178"/>
      <c r="H121" s="178"/>
      <c r="I121" s="203">
        <v>0.4458</v>
      </c>
      <c r="J121" s="215">
        <f t="shared" si="3"/>
        <v>0</v>
      </c>
    </row>
    <row r="122" spans="1:10">
      <c r="A122" s="176"/>
      <c r="B122" s="178"/>
      <c r="C122" s="178" t="s">
        <v>220</v>
      </c>
      <c r="D122" s="178" t="s">
        <v>32</v>
      </c>
      <c r="E122" s="178" t="s">
        <v>115</v>
      </c>
      <c r="F122" s="178" t="s">
        <v>216</v>
      </c>
      <c r="G122" s="178"/>
      <c r="H122" s="178"/>
      <c r="I122" s="203">
        <v>0.0864</v>
      </c>
      <c r="J122" s="215">
        <f t="shared" si="3"/>
        <v>0</v>
      </c>
    </row>
    <row r="123" spans="1:10">
      <c r="A123" s="176"/>
      <c r="B123" s="178"/>
      <c r="C123" s="178" t="s">
        <v>221</v>
      </c>
      <c r="D123" s="178" t="s">
        <v>32</v>
      </c>
      <c r="E123" s="178" t="s">
        <v>115</v>
      </c>
      <c r="F123" s="178" t="s">
        <v>222</v>
      </c>
      <c r="G123" s="178"/>
      <c r="H123" s="178"/>
      <c r="I123" s="203">
        <v>0.9871</v>
      </c>
      <c r="J123" s="215">
        <f t="shared" si="3"/>
        <v>0</v>
      </c>
    </row>
    <row r="124" spans="1:10">
      <c r="A124" s="176"/>
      <c r="B124" s="178"/>
      <c r="C124" s="178" t="s">
        <v>223</v>
      </c>
      <c r="D124" s="178" t="s">
        <v>32</v>
      </c>
      <c r="E124" s="178" t="s">
        <v>115</v>
      </c>
      <c r="F124" s="178" t="s">
        <v>224</v>
      </c>
      <c r="G124" s="178"/>
      <c r="H124" s="178"/>
      <c r="I124" s="203">
        <v>1.4291</v>
      </c>
      <c r="J124" s="215">
        <f t="shared" si="3"/>
        <v>0</v>
      </c>
    </row>
    <row r="125" spans="1:10">
      <c r="A125" s="176"/>
      <c r="B125" s="178"/>
      <c r="C125" s="178" t="s">
        <v>47</v>
      </c>
      <c r="D125" s="178" t="s">
        <v>48</v>
      </c>
      <c r="E125" s="178" t="s">
        <v>48</v>
      </c>
      <c r="F125" s="178" t="s">
        <v>49</v>
      </c>
      <c r="G125" s="178"/>
      <c r="H125" s="178"/>
      <c r="I125" s="178">
        <v>78</v>
      </c>
      <c r="J125" s="215">
        <f t="shared" si="3"/>
        <v>0</v>
      </c>
    </row>
    <row r="126" ht="14.25" spans="1:10">
      <c r="A126" s="224" t="s">
        <v>225</v>
      </c>
      <c r="B126" s="225"/>
      <c r="C126" s="225"/>
      <c r="D126" s="225"/>
      <c r="E126" s="225"/>
      <c r="F126" s="225"/>
      <c r="G126" s="225"/>
      <c r="H126" s="225"/>
      <c r="I126" s="225"/>
      <c r="J126" s="226">
        <f>SUM(J118:J125)</f>
        <v>0</v>
      </c>
    </row>
    <row r="128" spans="1:10">
      <c r="A128" s="63" t="s">
        <v>17</v>
      </c>
      <c r="B128" s="64" t="s">
        <v>18</v>
      </c>
      <c r="C128" s="64" t="s">
        <v>105</v>
      </c>
      <c r="D128" s="64" t="s">
        <v>45</v>
      </c>
      <c r="E128" s="64" t="s">
        <v>21</v>
      </c>
      <c r="F128" s="206" t="s">
        <v>106</v>
      </c>
      <c r="G128" s="208"/>
      <c r="H128" s="208" t="s">
        <v>23</v>
      </c>
      <c r="I128" s="196" t="s">
        <v>107</v>
      </c>
      <c r="J128" s="50" t="s">
        <v>26</v>
      </c>
    </row>
    <row r="129" ht="14.25" spans="1:10">
      <c r="A129" s="63"/>
      <c r="B129" s="64"/>
      <c r="C129" s="64"/>
      <c r="D129" s="64"/>
      <c r="E129" s="64"/>
      <c r="F129" s="49"/>
      <c r="G129" s="210"/>
      <c r="H129" s="210"/>
      <c r="I129" s="6"/>
      <c r="J129" s="50"/>
    </row>
    <row r="130" spans="1:10">
      <c r="A130" s="171" t="s">
        <v>226</v>
      </c>
      <c r="B130" s="211" t="s">
        <v>227</v>
      </c>
      <c r="C130" s="173" t="s">
        <v>114</v>
      </c>
      <c r="D130" s="173" t="s">
        <v>32</v>
      </c>
      <c r="E130" s="173" t="s">
        <v>115</v>
      </c>
      <c r="F130" s="173" t="s">
        <v>228</v>
      </c>
      <c r="G130" s="173"/>
      <c r="H130" s="173"/>
      <c r="I130" s="201">
        <v>1.702</v>
      </c>
      <c r="J130" s="214">
        <f t="shared" ref="J130:J143" si="4">H130*I130</f>
        <v>0</v>
      </c>
    </row>
    <row r="131" spans="1:10">
      <c r="A131" s="176"/>
      <c r="B131" s="178"/>
      <c r="C131" s="178" t="s">
        <v>110</v>
      </c>
      <c r="D131" s="178" t="s">
        <v>32</v>
      </c>
      <c r="E131" s="178" t="s">
        <v>115</v>
      </c>
      <c r="F131" s="178" t="s">
        <v>229</v>
      </c>
      <c r="G131" s="178"/>
      <c r="H131" s="178"/>
      <c r="I131" s="203">
        <v>0.2511</v>
      </c>
      <c r="J131" s="215">
        <f t="shared" si="4"/>
        <v>0</v>
      </c>
    </row>
    <row r="132" spans="1:10">
      <c r="A132" s="176"/>
      <c r="B132" s="178"/>
      <c r="C132" s="178" t="s">
        <v>117</v>
      </c>
      <c r="D132" s="178" t="s">
        <v>32</v>
      </c>
      <c r="E132" s="178" t="s">
        <v>115</v>
      </c>
      <c r="F132" s="178" t="s">
        <v>230</v>
      </c>
      <c r="G132" s="178"/>
      <c r="H132" s="178"/>
      <c r="I132" s="203">
        <v>0.5481</v>
      </c>
      <c r="J132" s="215">
        <f t="shared" si="4"/>
        <v>0</v>
      </c>
    </row>
    <row r="133" spans="1:10">
      <c r="A133" s="176"/>
      <c r="B133" s="178"/>
      <c r="C133" s="178" t="s">
        <v>114</v>
      </c>
      <c r="D133" s="178" t="s">
        <v>32</v>
      </c>
      <c r="E133" s="178" t="s">
        <v>115</v>
      </c>
      <c r="F133" s="178" t="s">
        <v>231</v>
      </c>
      <c r="G133" s="178"/>
      <c r="H133" s="178"/>
      <c r="I133" s="203">
        <v>0.3388</v>
      </c>
      <c r="J133" s="215">
        <f t="shared" si="4"/>
        <v>0</v>
      </c>
    </row>
    <row r="134" spans="1:10">
      <c r="A134" s="176"/>
      <c r="B134" s="178"/>
      <c r="C134" s="178" t="s">
        <v>180</v>
      </c>
      <c r="D134" s="178" t="s">
        <v>32</v>
      </c>
      <c r="E134" s="178" t="s">
        <v>115</v>
      </c>
      <c r="F134" s="178" t="s">
        <v>232</v>
      </c>
      <c r="G134" s="178"/>
      <c r="H134" s="178"/>
      <c r="I134" s="203">
        <v>0.1414</v>
      </c>
      <c r="J134" s="215">
        <f t="shared" si="4"/>
        <v>0</v>
      </c>
    </row>
    <row r="135" spans="1:10">
      <c r="A135" s="176"/>
      <c r="B135" s="178"/>
      <c r="C135" s="178" t="s">
        <v>142</v>
      </c>
      <c r="D135" s="178" t="s">
        <v>32</v>
      </c>
      <c r="E135" s="178" t="s">
        <v>115</v>
      </c>
      <c r="F135" s="178" t="s">
        <v>230</v>
      </c>
      <c r="G135" s="178"/>
      <c r="H135" s="178"/>
      <c r="I135" s="203">
        <v>0.5481</v>
      </c>
      <c r="J135" s="215">
        <f t="shared" si="4"/>
        <v>0</v>
      </c>
    </row>
    <row r="136" spans="1:10">
      <c r="A136" s="176"/>
      <c r="B136" s="178"/>
      <c r="C136" s="178" t="s">
        <v>223</v>
      </c>
      <c r="D136" s="178" t="s">
        <v>32</v>
      </c>
      <c r="E136" s="178" t="s">
        <v>115</v>
      </c>
      <c r="F136" s="178" t="s">
        <v>229</v>
      </c>
      <c r="G136" s="178"/>
      <c r="H136" s="178"/>
      <c r="I136" s="203">
        <v>0.2511</v>
      </c>
      <c r="J136" s="215">
        <f t="shared" si="4"/>
        <v>0</v>
      </c>
    </row>
    <row r="137" spans="1:10">
      <c r="A137" s="176"/>
      <c r="B137" s="178"/>
      <c r="C137" s="178" t="s">
        <v>145</v>
      </c>
      <c r="D137" s="178" t="s">
        <v>32</v>
      </c>
      <c r="E137" s="178" t="s">
        <v>115</v>
      </c>
      <c r="F137" s="178" t="s">
        <v>233</v>
      </c>
      <c r="G137" s="178"/>
      <c r="H137" s="178"/>
      <c r="I137" s="203">
        <v>0.046</v>
      </c>
      <c r="J137" s="215">
        <f t="shared" si="4"/>
        <v>0</v>
      </c>
    </row>
    <row r="138" spans="1:10">
      <c r="A138" s="176"/>
      <c r="B138" s="178"/>
      <c r="C138" s="178" t="s">
        <v>146</v>
      </c>
      <c r="D138" s="178" t="s">
        <v>32</v>
      </c>
      <c r="E138" s="178" t="s">
        <v>115</v>
      </c>
      <c r="F138" s="178" t="s">
        <v>234</v>
      </c>
      <c r="G138" s="178"/>
      <c r="H138" s="178"/>
      <c r="I138" s="203">
        <v>0.0736</v>
      </c>
      <c r="J138" s="215">
        <f t="shared" si="4"/>
        <v>0</v>
      </c>
    </row>
    <row r="139" spans="1:10">
      <c r="A139" s="176"/>
      <c r="B139" s="178"/>
      <c r="C139" s="178" t="s">
        <v>31</v>
      </c>
      <c r="D139" s="178" t="s">
        <v>32</v>
      </c>
      <c r="E139" s="178" t="s">
        <v>111</v>
      </c>
      <c r="F139" s="178" t="s">
        <v>235</v>
      </c>
      <c r="G139" s="178"/>
      <c r="H139" s="178"/>
      <c r="I139" s="203">
        <v>0.202</v>
      </c>
      <c r="J139" s="215">
        <f t="shared" si="4"/>
        <v>0</v>
      </c>
    </row>
    <row r="140" spans="1:10">
      <c r="A140" s="176"/>
      <c r="B140" s="178"/>
      <c r="C140" s="178" t="s">
        <v>35</v>
      </c>
      <c r="D140" s="178" t="s">
        <v>32</v>
      </c>
      <c r="E140" s="178" t="s">
        <v>111</v>
      </c>
      <c r="F140" s="178" t="s">
        <v>235</v>
      </c>
      <c r="G140" s="178"/>
      <c r="H140" s="178"/>
      <c r="I140" s="203">
        <v>0.202</v>
      </c>
      <c r="J140" s="215">
        <f t="shared" si="4"/>
        <v>0</v>
      </c>
    </row>
    <row r="141" spans="1:10">
      <c r="A141" s="176"/>
      <c r="B141" s="178"/>
      <c r="C141" s="178" t="s">
        <v>47</v>
      </c>
      <c r="D141" s="178" t="s">
        <v>48</v>
      </c>
      <c r="E141" s="178" t="s">
        <v>48</v>
      </c>
      <c r="F141" s="178" t="s">
        <v>49</v>
      </c>
      <c r="G141" s="178"/>
      <c r="H141" s="178"/>
      <c r="I141" s="178">
        <v>32</v>
      </c>
      <c r="J141" s="215">
        <f t="shared" si="4"/>
        <v>0</v>
      </c>
    </row>
    <row r="142" spans="1:10">
      <c r="A142" s="176"/>
      <c r="B142" s="178"/>
      <c r="C142" s="178" t="s">
        <v>55</v>
      </c>
      <c r="D142" s="178" t="s">
        <v>56</v>
      </c>
      <c r="E142" s="178" t="s">
        <v>56</v>
      </c>
      <c r="F142" s="178" t="s">
        <v>57</v>
      </c>
      <c r="G142" s="178"/>
      <c r="H142" s="178"/>
      <c r="I142" s="178">
        <v>4</v>
      </c>
      <c r="J142" s="215">
        <f t="shared" si="4"/>
        <v>0</v>
      </c>
    </row>
    <row r="143" spans="1:10">
      <c r="A143" s="176"/>
      <c r="B143" s="178"/>
      <c r="C143" s="178" t="s">
        <v>151</v>
      </c>
      <c r="D143" s="178" t="s">
        <v>56</v>
      </c>
      <c r="E143" s="178" t="s">
        <v>56</v>
      </c>
      <c r="F143" s="178" t="s">
        <v>152</v>
      </c>
      <c r="G143" s="178"/>
      <c r="H143" s="178"/>
      <c r="I143" s="178">
        <v>2</v>
      </c>
      <c r="J143" s="215">
        <f t="shared" si="4"/>
        <v>0</v>
      </c>
    </row>
    <row r="144" ht="14.25" spans="1:10">
      <c r="A144" s="224" t="s">
        <v>236</v>
      </c>
      <c r="B144" s="225"/>
      <c r="C144" s="225"/>
      <c r="D144" s="225"/>
      <c r="E144" s="225"/>
      <c r="F144" s="225"/>
      <c r="G144" s="225"/>
      <c r="H144" s="225"/>
      <c r="I144" s="225"/>
      <c r="J144" s="226">
        <f>SUM(J130:J143)</f>
        <v>0</v>
      </c>
    </row>
    <row r="146" spans="1:10">
      <c r="A146" s="63" t="s">
        <v>17</v>
      </c>
      <c r="B146" s="64" t="s">
        <v>18</v>
      </c>
      <c r="C146" s="64" t="s">
        <v>105</v>
      </c>
      <c r="D146" s="64" t="s">
        <v>45</v>
      </c>
      <c r="E146" s="64" t="s">
        <v>21</v>
      </c>
      <c r="F146" s="206" t="s">
        <v>106</v>
      </c>
      <c r="G146" s="208"/>
      <c r="H146" s="208" t="s">
        <v>23</v>
      </c>
      <c r="I146" s="196" t="s">
        <v>107</v>
      </c>
      <c r="J146" s="50" t="s">
        <v>26</v>
      </c>
    </row>
    <row r="147" ht="14.25" spans="1:10">
      <c r="A147" s="63"/>
      <c r="B147" s="64"/>
      <c r="C147" s="64"/>
      <c r="D147" s="64"/>
      <c r="E147" s="64"/>
      <c r="F147" s="49"/>
      <c r="G147" s="210"/>
      <c r="H147" s="210"/>
      <c r="I147" s="6"/>
      <c r="J147" s="50"/>
    </row>
    <row r="148" spans="1:10">
      <c r="A148" s="171" t="s">
        <v>237</v>
      </c>
      <c r="B148" s="211" t="s">
        <v>238</v>
      </c>
      <c r="C148" s="173" t="s">
        <v>110</v>
      </c>
      <c r="D148" s="173" t="s">
        <v>32</v>
      </c>
      <c r="E148" s="173" t="s">
        <v>115</v>
      </c>
      <c r="F148" s="173" t="s">
        <v>224</v>
      </c>
      <c r="G148" s="173"/>
      <c r="H148" s="173"/>
      <c r="I148" s="201">
        <v>1.4291</v>
      </c>
      <c r="J148" s="214">
        <f t="shared" ref="J148:J172" si="5">H148*I148</f>
        <v>0</v>
      </c>
    </row>
    <row r="149" spans="1:10">
      <c r="A149" s="176"/>
      <c r="B149" s="178"/>
      <c r="C149" s="178" t="s">
        <v>131</v>
      </c>
      <c r="D149" s="178" t="s">
        <v>32</v>
      </c>
      <c r="E149" s="178" t="s">
        <v>111</v>
      </c>
      <c r="F149" s="178" t="s">
        <v>239</v>
      </c>
      <c r="G149" s="178"/>
      <c r="H149" s="178"/>
      <c r="I149" s="203">
        <v>0.0753</v>
      </c>
      <c r="J149" s="215">
        <f t="shared" si="5"/>
        <v>0</v>
      </c>
    </row>
    <row r="150" spans="1:10">
      <c r="A150" s="176"/>
      <c r="B150" s="178"/>
      <c r="C150" s="178" t="s">
        <v>199</v>
      </c>
      <c r="D150" s="178" t="s">
        <v>32</v>
      </c>
      <c r="E150" s="178" t="s">
        <v>115</v>
      </c>
      <c r="F150" s="178" t="s">
        <v>240</v>
      </c>
      <c r="G150" s="178"/>
      <c r="H150" s="178"/>
      <c r="I150" s="203">
        <v>0.1454</v>
      </c>
      <c r="J150" s="215">
        <f t="shared" si="5"/>
        <v>0</v>
      </c>
    </row>
    <row r="151" spans="1:10">
      <c r="A151" s="176"/>
      <c r="B151" s="178"/>
      <c r="C151" s="178" t="s">
        <v>117</v>
      </c>
      <c r="D151" s="178" t="s">
        <v>32</v>
      </c>
      <c r="E151" s="178" t="s">
        <v>115</v>
      </c>
      <c r="F151" s="178" t="s">
        <v>241</v>
      </c>
      <c r="G151" s="178"/>
      <c r="H151" s="178"/>
      <c r="I151" s="203">
        <v>0.4098</v>
      </c>
      <c r="J151" s="215">
        <f t="shared" si="5"/>
        <v>0</v>
      </c>
    </row>
    <row r="152" spans="1:10">
      <c r="A152" s="176"/>
      <c r="B152" s="178"/>
      <c r="C152" s="178" t="s">
        <v>129</v>
      </c>
      <c r="D152" s="178" t="s">
        <v>32</v>
      </c>
      <c r="E152" s="178" t="s">
        <v>115</v>
      </c>
      <c r="F152" s="178" t="s">
        <v>242</v>
      </c>
      <c r="G152" s="178"/>
      <c r="H152" s="178"/>
      <c r="I152" s="203">
        <v>0.7747</v>
      </c>
      <c r="J152" s="215">
        <f t="shared" si="5"/>
        <v>0</v>
      </c>
    </row>
    <row r="153" spans="1:10">
      <c r="A153" s="176"/>
      <c r="B153" s="178"/>
      <c r="C153" s="178" t="s">
        <v>114</v>
      </c>
      <c r="D153" s="178" t="s">
        <v>32</v>
      </c>
      <c r="E153" s="178" t="s">
        <v>115</v>
      </c>
      <c r="F153" s="178" t="s">
        <v>243</v>
      </c>
      <c r="G153" s="178"/>
      <c r="H153" s="178"/>
      <c r="I153" s="203">
        <v>0.4455</v>
      </c>
      <c r="J153" s="215">
        <f t="shared" si="5"/>
        <v>0</v>
      </c>
    </row>
    <row r="154" spans="1:10">
      <c r="A154" s="176"/>
      <c r="B154" s="178"/>
      <c r="C154" s="178" t="s">
        <v>129</v>
      </c>
      <c r="D154" s="178" t="s">
        <v>32</v>
      </c>
      <c r="E154" s="178" t="s">
        <v>115</v>
      </c>
      <c r="F154" s="178" t="s">
        <v>241</v>
      </c>
      <c r="G154" s="178"/>
      <c r="H154" s="178"/>
      <c r="I154" s="203">
        <v>0.8196</v>
      </c>
      <c r="J154" s="215">
        <f t="shared" si="5"/>
        <v>0</v>
      </c>
    </row>
    <row r="155" spans="1:10">
      <c r="A155" s="176"/>
      <c r="B155" s="178"/>
      <c r="C155" s="178" t="s">
        <v>244</v>
      </c>
      <c r="D155" s="178" t="s">
        <v>32</v>
      </c>
      <c r="E155" s="178" t="s">
        <v>111</v>
      </c>
      <c r="F155" s="178" t="s">
        <v>245</v>
      </c>
      <c r="G155" s="178"/>
      <c r="H155" s="178"/>
      <c r="I155" s="203">
        <v>0.045</v>
      </c>
      <c r="J155" s="215">
        <f t="shared" si="5"/>
        <v>0</v>
      </c>
    </row>
    <row r="156" spans="1:10">
      <c r="A156" s="176"/>
      <c r="B156" s="178"/>
      <c r="C156" s="178" t="s">
        <v>223</v>
      </c>
      <c r="D156" s="178" t="s">
        <v>32</v>
      </c>
      <c r="E156" s="178" t="s">
        <v>115</v>
      </c>
      <c r="F156" s="178" t="s">
        <v>246</v>
      </c>
      <c r="G156" s="178"/>
      <c r="H156" s="178"/>
      <c r="I156" s="203">
        <v>0.279</v>
      </c>
      <c r="J156" s="215">
        <f t="shared" si="5"/>
        <v>0</v>
      </c>
    </row>
    <row r="157" spans="1:10">
      <c r="A157" s="176"/>
      <c r="B157" s="178"/>
      <c r="C157" s="178" t="s">
        <v>110</v>
      </c>
      <c r="D157" s="178" t="s">
        <v>32</v>
      </c>
      <c r="E157" s="178" t="s">
        <v>115</v>
      </c>
      <c r="F157" s="178" t="s">
        <v>246</v>
      </c>
      <c r="G157" s="178"/>
      <c r="H157" s="178"/>
      <c r="I157" s="203">
        <v>0.279</v>
      </c>
      <c r="J157" s="215">
        <f t="shared" si="5"/>
        <v>0</v>
      </c>
    </row>
    <row r="158" spans="1:10">
      <c r="A158" s="176"/>
      <c r="B158" s="178"/>
      <c r="C158" s="178" t="s">
        <v>114</v>
      </c>
      <c r="D158" s="178" t="s">
        <v>32</v>
      </c>
      <c r="E158" s="178" t="s">
        <v>115</v>
      </c>
      <c r="F158" s="178" t="s">
        <v>247</v>
      </c>
      <c r="G158" s="178"/>
      <c r="H158" s="178"/>
      <c r="I158" s="203">
        <v>0.2154</v>
      </c>
      <c r="J158" s="215">
        <f t="shared" si="5"/>
        <v>0</v>
      </c>
    </row>
    <row r="159" spans="1:10">
      <c r="A159" s="176"/>
      <c r="B159" s="178"/>
      <c r="C159" s="178" t="s">
        <v>129</v>
      </c>
      <c r="D159" s="178" t="s">
        <v>32</v>
      </c>
      <c r="E159" s="178" t="s">
        <v>115</v>
      </c>
      <c r="F159" s="178" t="s">
        <v>248</v>
      </c>
      <c r="G159" s="178"/>
      <c r="H159" s="178"/>
      <c r="I159" s="203">
        <v>0.4065</v>
      </c>
      <c r="J159" s="215">
        <f t="shared" si="5"/>
        <v>0</v>
      </c>
    </row>
    <row r="160" spans="1:10">
      <c r="A160" s="176"/>
      <c r="B160" s="178"/>
      <c r="C160" s="178" t="s">
        <v>114</v>
      </c>
      <c r="D160" s="178" t="s">
        <v>32</v>
      </c>
      <c r="E160" s="178" t="s">
        <v>115</v>
      </c>
      <c r="F160" s="178" t="s">
        <v>249</v>
      </c>
      <c r="G160" s="178"/>
      <c r="H160" s="178"/>
      <c r="I160" s="203">
        <v>0.4362</v>
      </c>
      <c r="J160" s="215">
        <f t="shared" si="5"/>
        <v>0</v>
      </c>
    </row>
    <row r="161" spans="1:10">
      <c r="A161" s="176"/>
      <c r="B161" s="178"/>
      <c r="C161" s="178" t="s">
        <v>142</v>
      </c>
      <c r="D161" s="178" t="s">
        <v>32</v>
      </c>
      <c r="E161" s="178" t="s">
        <v>115</v>
      </c>
      <c r="F161" s="178" t="s">
        <v>241</v>
      </c>
      <c r="G161" s="178"/>
      <c r="H161" s="178"/>
      <c r="I161" s="203">
        <v>0.4098</v>
      </c>
      <c r="J161" s="215">
        <f t="shared" si="5"/>
        <v>0</v>
      </c>
    </row>
    <row r="162" spans="1:10">
      <c r="A162" s="176"/>
      <c r="B162" s="178"/>
      <c r="C162" s="178" t="s">
        <v>145</v>
      </c>
      <c r="D162" s="178" t="s">
        <v>32</v>
      </c>
      <c r="E162" s="178" t="s">
        <v>115</v>
      </c>
      <c r="F162" s="178" t="s">
        <v>250</v>
      </c>
      <c r="G162" s="178"/>
      <c r="H162" s="178"/>
      <c r="I162" s="203">
        <v>0.0331</v>
      </c>
      <c r="J162" s="215">
        <f t="shared" si="5"/>
        <v>0</v>
      </c>
    </row>
    <row r="163" spans="1:10">
      <c r="A163" s="176"/>
      <c r="B163" s="178"/>
      <c r="C163" s="178" t="s">
        <v>146</v>
      </c>
      <c r="D163" s="178" t="s">
        <v>32</v>
      </c>
      <c r="E163" s="178" t="s">
        <v>115</v>
      </c>
      <c r="F163" s="178" t="s">
        <v>251</v>
      </c>
      <c r="G163" s="178"/>
      <c r="H163" s="178"/>
      <c r="I163" s="203">
        <v>0.0529</v>
      </c>
      <c r="J163" s="215">
        <f t="shared" si="5"/>
        <v>0</v>
      </c>
    </row>
    <row r="164" spans="1:10">
      <c r="A164" s="176"/>
      <c r="B164" s="178"/>
      <c r="C164" s="178" t="s">
        <v>223</v>
      </c>
      <c r="D164" s="178" t="s">
        <v>32</v>
      </c>
      <c r="E164" s="178" t="s">
        <v>115</v>
      </c>
      <c r="F164" s="178" t="s">
        <v>224</v>
      </c>
      <c r="G164" s="178"/>
      <c r="H164" s="178"/>
      <c r="I164" s="203">
        <v>1.4291</v>
      </c>
      <c r="J164" s="215">
        <f t="shared" si="5"/>
        <v>0</v>
      </c>
    </row>
    <row r="165" spans="1:10">
      <c r="A165" s="176"/>
      <c r="B165" s="178"/>
      <c r="C165" s="178" t="s">
        <v>31</v>
      </c>
      <c r="D165" s="178" t="s">
        <v>32</v>
      </c>
      <c r="E165" s="178" t="s">
        <v>111</v>
      </c>
      <c r="F165" s="178" t="s">
        <v>252</v>
      </c>
      <c r="G165" s="178"/>
      <c r="H165" s="178"/>
      <c r="I165" s="203">
        <v>0.36</v>
      </c>
      <c r="J165" s="215">
        <f t="shared" si="5"/>
        <v>0</v>
      </c>
    </row>
    <row r="166" spans="1:10">
      <c r="A166" s="176"/>
      <c r="B166" s="178"/>
      <c r="C166" s="178" t="s">
        <v>35</v>
      </c>
      <c r="D166" s="178" t="s">
        <v>32</v>
      </c>
      <c r="E166" s="178" t="s">
        <v>111</v>
      </c>
      <c r="F166" s="178" t="s">
        <v>252</v>
      </c>
      <c r="G166" s="178"/>
      <c r="H166" s="178"/>
      <c r="I166" s="203">
        <v>0.36</v>
      </c>
      <c r="J166" s="215">
        <f t="shared" si="5"/>
        <v>0</v>
      </c>
    </row>
    <row r="167" spans="1:10">
      <c r="A167" s="176"/>
      <c r="B167" s="178"/>
      <c r="C167" s="178" t="s">
        <v>31</v>
      </c>
      <c r="D167" s="178" t="s">
        <v>32</v>
      </c>
      <c r="E167" s="178" t="s">
        <v>111</v>
      </c>
      <c r="F167" s="178" t="s">
        <v>253</v>
      </c>
      <c r="G167" s="178"/>
      <c r="H167" s="178"/>
      <c r="I167" s="203">
        <v>0.2374</v>
      </c>
      <c r="J167" s="215">
        <f t="shared" si="5"/>
        <v>0</v>
      </c>
    </row>
    <row r="168" spans="1:10">
      <c r="A168" s="176"/>
      <c r="B168" s="178"/>
      <c r="C168" s="178" t="s">
        <v>35</v>
      </c>
      <c r="D168" s="178" t="s">
        <v>32</v>
      </c>
      <c r="E168" s="178" t="s">
        <v>111</v>
      </c>
      <c r="F168" s="178" t="s">
        <v>253</v>
      </c>
      <c r="G168" s="178"/>
      <c r="H168" s="178"/>
      <c r="I168" s="203">
        <v>0.2374</v>
      </c>
      <c r="J168" s="215">
        <f t="shared" si="5"/>
        <v>0</v>
      </c>
    </row>
    <row r="169" spans="1:10">
      <c r="A169" s="176"/>
      <c r="B169" s="178"/>
      <c r="C169" s="178" t="s">
        <v>47</v>
      </c>
      <c r="D169" s="178" t="s">
        <v>48</v>
      </c>
      <c r="E169" s="178" t="s">
        <v>48</v>
      </c>
      <c r="F169" s="178" t="s">
        <v>49</v>
      </c>
      <c r="G169" s="178"/>
      <c r="H169" s="178"/>
      <c r="I169" s="178">
        <v>67</v>
      </c>
      <c r="J169" s="215">
        <f t="shared" si="5"/>
        <v>0</v>
      </c>
    </row>
    <row r="170" spans="1:10">
      <c r="A170" s="176"/>
      <c r="B170" s="178"/>
      <c r="C170" s="178" t="s">
        <v>59</v>
      </c>
      <c r="D170" s="178" t="s">
        <v>48</v>
      </c>
      <c r="E170" s="178" t="s">
        <v>48</v>
      </c>
      <c r="F170" s="178" t="s">
        <v>60</v>
      </c>
      <c r="G170" s="178"/>
      <c r="H170" s="178"/>
      <c r="I170" s="178">
        <v>8</v>
      </c>
      <c r="J170" s="215">
        <f t="shared" si="5"/>
        <v>0</v>
      </c>
    </row>
    <row r="171" spans="1:10">
      <c r="A171" s="176"/>
      <c r="B171" s="178"/>
      <c r="C171" s="178" t="s">
        <v>55</v>
      </c>
      <c r="D171" s="178" t="s">
        <v>56</v>
      </c>
      <c r="E171" s="178" t="s">
        <v>56</v>
      </c>
      <c r="F171" s="178" t="s">
        <v>57</v>
      </c>
      <c r="G171" s="178"/>
      <c r="H171" s="178"/>
      <c r="I171" s="178">
        <v>8</v>
      </c>
      <c r="J171" s="215">
        <f t="shared" si="5"/>
        <v>0</v>
      </c>
    </row>
    <row r="172" spans="1:10">
      <c r="A172" s="176"/>
      <c r="B172" s="178"/>
      <c r="C172" s="178" t="s">
        <v>151</v>
      </c>
      <c r="D172" s="178" t="s">
        <v>56</v>
      </c>
      <c r="E172" s="178" t="s">
        <v>56</v>
      </c>
      <c r="F172" s="178" t="s">
        <v>152</v>
      </c>
      <c r="G172" s="178"/>
      <c r="H172" s="178"/>
      <c r="I172" s="178">
        <v>4</v>
      </c>
      <c r="J172" s="215">
        <f t="shared" si="5"/>
        <v>0</v>
      </c>
    </row>
    <row r="173" ht="14.25" spans="1:10">
      <c r="A173" s="224" t="s">
        <v>254</v>
      </c>
      <c r="B173" s="225"/>
      <c r="C173" s="225"/>
      <c r="D173" s="225"/>
      <c r="E173" s="225"/>
      <c r="F173" s="225"/>
      <c r="G173" s="225"/>
      <c r="H173" s="225"/>
      <c r="I173" s="225"/>
      <c r="J173" s="226">
        <f>SUM(J148:J172)</f>
        <v>0</v>
      </c>
    </row>
    <row r="175" spans="1:10">
      <c r="A175" s="63" t="s">
        <v>17</v>
      </c>
      <c r="B175" s="64" t="s">
        <v>18</v>
      </c>
      <c r="C175" s="64" t="s">
        <v>105</v>
      </c>
      <c r="D175" s="64" t="s">
        <v>45</v>
      </c>
      <c r="E175" s="64" t="s">
        <v>21</v>
      </c>
      <c r="F175" s="206" t="s">
        <v>106</v>
      </c>
      <c r="G175" s="208"/>
      <c r="H175" s="208" t="s">
        <v>23</v>
      </c>
      <c r="I175" s="196" t="s">
        <v>107</v>
      </c>
      <c r="J175" s="50" t="s">
        <v>26</v>
      </c>
    </row>
    <row r="176" ht="14.25" spans="1:10">
      <c r="A176" s="63"/>
      <c r="B176" s="64"/>
      <c r="C176" s="64"/>
      <c r="D176" s="64"/>
      <c r="E176" s="64"/>
      <c r="F176" s="49"/>
      <c r="G176" s="210"/>
      <c r="H176" s="210"/>
      <c r="I176" s="6"/>
      <c r="J176" s="50"/>
    </row>
    <row r="177" spans="1:10">
      <c r="A177" s="171" t="s">
        <v>108</v>
      </c>
      <c r="B177" s="211" t="s">
        <v>255</v>
      </c>
      <c r="C177" s="173" t="s">
        <v>131</v>
      </c>
      <c r="D177" s="173" t="s">
        <v>32</v>
      </c>
      <c r="E177" s="173" t="s">
        <v>111</v>
      </c>
      <c r="F177" s="173" t="s">
        <v>256</v>
      </c>
      <c r="G177" s="173"/>
      <c r="H177" s="173"/>
      <c r="I177" s="201">
        <v>0.086</v>
      </c>
      <c r="J177" s="214">
        <f t="shared" ref="J177:J190" si="6">H177*I177</f>
        <v>0</v>
      </c>
    </row>
    <row r="178" spans="1:10">
      <c r="A178" s="176"/>
      <c r="B178" s="178"/>
      <c r="C178" s="178" t="s">
        <v>110</v>
      </c>
      <c r="D178" s="178" t="s">
        <v>32</v>
      </c>
      <c r="E178" s="178" t="s">
        <v>115</v>
      </c>
      <c r="F178" s="178" t="s">
        <v>257</v>
      </c>
      <c r="G178" s="178"/>
      <c r="H178" s="178"/>
      <c r="I178" s="203">
        <v>0.5029</v>
      </c>
      <c r="J178" s="215">
        <f t="shared" si="6"/>
        <v>0</v>
      </c>
    </row>
    <row r="179" spans="1:10">
      <c r="A179" s="176"/>
      <c r="B179" s="178"/>
      <c r="C179" s="178" t="s">
        <v>117</v>
      </c>
      <c r="D179" s="178" t="s">
        <v>32</v>
      </c>
      <c r="E179" s="178" t="s">
        <v>115</v>
      </c>
      <c r="F179" s="178" t="s">
        <v>258</v>
      </c>
      <c r="G179" s="178"/>
      <c r="H179" s="178"/>
      <c r="I179" s="203">
        <v>0.1955</v>
      </c>
      <c r="J179" s="215">
        <f t="shared" si="6"/>
        <v>0</v>
      </c>
    </row>
    <row r="180" spans="1:10">
      <c r="A180" s="176"/>
      <c r="B180" s="178"/>
      <c r="C180" s="178" t="s">
        <v>110</v>
      </c>
      <c r="D180" s="178" t="s">
        <v>32</v>
      </c>
      <c r="E180" s="178" t="s">
        <v>115</v>
      </c>
      <c r="F180" s="178" t="s">
        <v>259</v>
      </c>
      <c r="G180" s="178"/>
      <c r="H180" s="178"/>
      <c r="I180" s="203">
        <v>0.4286</v>
      </c>
      <c r="J180" s="215">
        <f t="shared" si="6"/>
        <v>0</v>
      </c>
    </row>
    <row r="181" spans="1:10">
      <c r="A181" s="176"/>
      <c r="B181" s="178"/>
      <c r="C181" s="178" t="s">
        <v>129</v>
      </c>
      <c r="D181" s="178" t="s">
        <v>32</v>
      </c>
      <c r="E181" s="178" t="s">
        <v>115</v>
      </c>
      <c r="F181" s="178" t="s">
        <v>260</v>
      </c>
      <c r="G181" s="178"/>
      <c r="H181" s="178"/>
      <c r="I181" s="203">
        <v>0.1643</v>
      </c>
      <c r="J181" s="215">
        <f t="shared" si="6"/>
        <v>0</v>
      </c>
    </row>
    <row r="182" spans="1:10">
      <c r="A182" s="176"/>
      <c r="B182" s="178"/>
      <c r="C182" s="178" t="s">
        <v>261</v>
      </c>
      <c r="D182" s="178" t="s">
        <v>32</v>
      </c>
      <c r="E182" s="178" t="s">
        <v>115</v>
      </c>
      <c r="F182" s="178" t="s">
        <v>262</v>
      </c>
      <c r="G182" s="178"/>
      <c r="H182" s="178"/>
      <c r="I182" s="203">
        <v>0.0361</v>
      </c>
      <c r="J182" s="215">
        <f t="shared" si="6"/>
        <v>0</v>
      </c>
    </row>
    <row r="183" spans="1:10">
      <c r="A183" s="176"/>
      <c r="B183" s="178"/>
      <c r="C183" s="178" t="s">
        <v>114</v>
      </c>
      <c r="D183" s="178" t="s">
        <v>32</v>
      </c>
      <c r="E183" s="178" t="s">
        <v>115</v>
      </c>
      <c r="F183" s="178" t="s">
        <v>263</v>
      </c>
      <c r="G183" s="178"/>
      <c r="H183" s="178"/>
      <c r="I183" s="203">
        <v>0.2329</v>
      </c>
      <c r="J183" s="215">
        <f t="shared" si="6"/>
        <v>0</v>
      </c>
    </row>
    <row r="184" spans="1:10">
      <c r="A184" s="176"/>
      <c r="B184" s="178"/>
      <c r="C184" s="178" t="s">
        <v>223</v>
      </c>
      <c r="D184" s="178" t="s">
        <v>32</v>
      </c>
      <c r="E184" s="178" t="s">
        <v>115</v>
      </c>
      <c r="F184" s="178" t="s">
        <v>259</v>
      </c>
      <c r="G184" s="178"/>
      <c r="H184" s="178"/>
      <c r="I184" s="203">
        <v>0.4286</v>
      </c>
      <c r="J184" s="215">
        <f t="shared" si="6"/>
        <v>0</v>
      </c>
    </row>
    <row r="185" spans="1:10">
      <c r="A185" s="176"/>
      <c r="B185" s="178"/>
      <c r="C185" s="178" t="s">
        <v>142</v>
      </c>
      <c r="D185" s="178" t="s">
        <v>32</v>
      </c>
      <c r="E185" s="178" t="s">
        <v>115</v>
      </c>
      <c r="F185" s="178" t="s">
        <v>264</v>
      </c>
      <c r="G185" s="178"/>
      <c r="H185" s="178"/>
      <c r="I185" s="203">
        <v>0.5858</v>
      </c>
      <c r="J185" s="215">
        <f t="shared" si="6"/>
        <v>0</v>
      </c>
    </row>
    <row r="186" spans="1:10">
      <c r="A186" s="176"/>
      <c r="B186" s="178"/>
      <c r="C186" s="178" t="s">
        <v>265</v>
      </c>
      <c r="D186" s="178" t="s">
        <v>32</v>
      </c>
      <c r="E186" s="178" t="s">
        <v>111</v>
      </c>
      <c r="F186" s="178" t="s">
        <v>266</v>
      </c>
      <c r="G186" s="178"/>
      <c r="H186" s="178"/>
      <c r="I186" s="203">
        <v>0.2488</v>
      </c>
      <c r="J186" s="215">
        <f t="shared" si="6"/>
        <v>0</v>
      </c>
    </row>
    <row r="187" spans="1:10">
      <c r="A187" s="176"/>
      <c r="B187" s="178"/>
      <c r="C187" s="178" t="s">
        <v>47</v>
      </c>
      <c r="D187" s="178" t="s">
        <v>48</v>
      </c>
      <c r="E187" s="178" t="s">
        <v>48</v>
      </c>
      <c r="F187" s="178" t="s">
        <v>49</v>
      </c>
      <c r="G187" s="178"/>
      <c r="H187" s="178"/>
      <c r="I187" s="178">
        <v>18</v>
      </c>
      <c r="J187" s="215">
        <f t="shared" si="6"/>
        <v>0</v>
      </c>
    </row>
    <row r="188" spans="1:10">
      <c r="A188" s="176"/>
      <c r="B188" s="178"/>
      <c r="C188" s="178" t="s">
        <v>59</v>
      </c>
      <c r="D188" s="178" t="s">
        <v>48</v>
      </c>
      <c r="E188" s="178" t="s">
        <v>48</v>
      </c>
      <c r="F188" s="178" t="s">
        <v>60</v>
      </c>
      <c r="G188" s="178"/>
      <c r="H188" s="178"/>
      <c r="I188" s="178">
        <v>4</v>
      </c>
      <c r="J188" s="215">
        <f t="shared" si="6"/>
        <v>0</v>
      </c>
    </row>
    <row r="189" spans="1:10">
      <c r="A189" s="176"/>
      <c r="B189" s="178"/>
      <c r="C189" s="178" t="s">
        <v>55</v>
      </c>
      <c r="D189" s="178" t="s">
        <v>56</v>
      </c>
      <c r="E189" s="178" t="s">
        <v>56</v>
      </c>
      <c r="F189" s="178" t="s">
        <v>57</v>
      </c>
      <c r="G189" s="178"/>
      <c r="H189" s="178"/>
      <c r="I189" s="178">
        <v>2</v>
      </c>
      <c r="J189" s="215">
        <f t="shared" si="6"/>
        <v>0</v>
      </c>
    </row>
    <row r="190" spans="1:10">
      <c r="A190" s="176"/>
      <c r="B190" s="178"/>
      <c r="C190" s="178" t="s">
        <v>151</v>
      </c>
      <c r="D190" s="178" t="s">
        <v>56</v>
      </c>
      <c r="E190" s="178" t="s">
        <v>56</v>
      </c>
      <c r="F190" s="178" t="s">
        <v>152</v>
      </c>
      <c r="G190" s="178"/>
      <c r="H190" s="178"/>
      <c r="I190" s="178">
        <v>1</v>
      </c>
      <c r="J190" s="215">
        <f t="shared" si="6"/>
        <v>0</v>
      </c>
    </row>
    <row r="191" ht="14.25" spans="1:10">
      <c r="A191" s="224" t="s">
        <v>267</v>
      </c>
      <c r="B191" s="225"/>
      <c r="C191" s="225"/>
      <c r="D191" s="225"/>
      <c r="E191" s="225"/>
      <c r="F191" s="225"/>
      <c r="G191" s="225"/>
      <c r="H191" s="225"/>
      <c r="I191" s="225"/>
      <c r="J191" s="226">
        <f>SUM(J177:J190)</f>
        <v>0</v>
      </c>
    </row>
    <row r="193" spans="1:10">
      <c r="A193" s="63" t="s">
        <v>17</v>
      </c>
      <c r="B193" s="64" t="s">
        <v>18</v>
      </c>
      <c r="C193" s="64" t="s">
        <v>105</v>
      </c>
      <c r="D193" s="64" t="s">
        <v>45</v>
      </c>
      <c r="E193" s="64" t="s">
        <v>21</v>
      </c>
      <c r="F193" s="206" t="s">
        <v>106</v>
      </c>
      <c r="G193" s="208"/>
      <c r="H193" s="208" t="s">
        <v>23</v>
      </c>
      <c r="I193" s="196" t="s">
        <v>107</v>
      </c>
      <c r="J193" s="50" t="s">
        <v>26</v>
      </c>
    </row>
    <row r="194" ht="14.25" spans="1:10">
      <c r="A194" s="63"/>
      <c r="B194" s="64"/>
      <c r="C194" s="64"/>
      <c r="D194" s="64"/>
      <c r="E194" s="64"/>
      <c r="F194" s="49"/>
      <c r="G194" s="210"/>
      <c r="H194" s="210"/>
      <c r="I194" s="6"/>
      <c r="J194" s="50"/>
    </row>
    <row r="195" spans="1:10">
      <c r="A195" s="171" t="s">
        <v>154</v>
      </c>
      <c r="B195" s="211" t="s">
        <v>268</v>
      </c>
      <c r="C195" s="173" t="s">
        <v>110</v>
      </c>
      <c r="D195" s="173" t="s">
        <v>32</v>
      </c>
      <c r="E195" s="173" t="s">
        <v>111</v>
      </c>
      <c r="F195" s="173" t="s">
        <v>269</v>
      </c>
      <c r="G195" s="173"/>
      <c r="H195" s="173"/>
      <c r="I195" s="201">
        <v>1.395</v>
      </c>
      <c r="J195" s="214">
        <f t="shared" ref="J195:J222" si="7">H195*I195</f>
        <v>0</v>
      </c>
    </row>
    <row r="196" spans="1:10">
      <c r="A196" s="176"/>
      <c r="B196" s="178"/>
      <c r="C196" s="178" t="s">
        <v>131</v>
      </c>
      <c r="D196" s="178" t="s">
        <v>32</v>
      </c>
      <c r="E196" s="178" t="s">
        <v>111</v>
      </c>
      <c r="F196" s="178" t="s">
        <v>270</v>
      </c>
      <c r="G196" s="178"/>
      <c r="H196" s="178"/>
      <c r="I196" s="203">
        <v>0.0466</v>
      </c>
      <c r="J196" s="215">
        <f t="shared" si="7"/>
        <v>0</v>
      </c>
    </row>
    <row r="197" spans="1:10">
      <c r="A197" s="176"/>
      <c r="B197" s="178"/>
      <c r="C197" s="178" t="s">
        <v>199</v>
      </c>
      <c r="D197" s="178" t="s">
        <v>32</v>
      </c>
      <c r="E197" s="178" t="s">
        <v>115</v>
      </c>
      <c r="F197" s="178" t="s">
        <v>271</v>
      </c>
      <c r="G197" s="178"/>
      <c r="H197" s="178"/>
      <c r="I197" s="203">
        <v>0.0472</v>
      </c>
      <c r="J197" s="215">
        <f t="shared" si="7"/>
        <v>0</v>
      </c>
    </row>
    <row r="198" spans="1:10">
      <c r="A198" s="176"/>
      <c r="B198" s="178"/>
      <c r="C198" s="178" t="s">
        <v>199</v>
      </c>
      <c r="D198" s="178" t="s">
        <v>32</v>
      </c>
      <c r="E198" s="178" t="s">
        <v>115</v>
      </c>
      <c r="F198" s="178" t="s">
        <v>272</v>
      </c>
      <c r="G198" s="178"/>
      <c r="H198" s="178"/>
      <c r="I198" s="203">
        <v>0.0182</v>
      </c>
      <c r="J198" s="215">
        <f t="shared" si="7"/>
        <v>0</v>
      </c>
    </row>
    <row r="199" spans="1:10">
      <c r="A199" s="176"/>
      <c r="B199" s="178"/>
      <c r="C199" s="178" t="s">
        <v>215</v>
      </c>
      <c r="D199" s="178" t="s">
        <v>32</v>
      </c>
      <c r="E199" s="178" t="s">
        <v>115</v>
      </c>
      <c r="F199" s="178" t="s">
        <v>273</v>
      </c>
      <c r="G199" s="178"/>
      <c r="H199" s="178"/>
      <c r="I199" s="203">
        <v>0.448</v>
      </c>
      <c r="J199" s="215">
        <f t="shared" si="7"/>
        <v>0</v>
      </c>
    </row>
    <row r="200" spans="1:10">
      <c r="A200" s="176"/>
      <c r="B200" s="178"/>
      <c r="C200" s="178" t="s">
        <v>217</v>
      </c>
      <c r="D200" s="178" t="s">
        <v>32</v>
      </c>
      <c r="E200" s="178" t="s">
        <v>115</v>
      </c>
      <c r="F200" s="178" t="s">
        <v>274</v>
      </c>
      <c r="G200" s="178"/>
      <c r="H200" s="178"/>
      <c r="I200" s="203">
        <v>0.8426</v>
      </c>
      <c r="J200" s="215">
        <f t="shared" si="7"/>
        <v>0</v>
      </c>
    </row>
    <row r="201" spans="1:10">
      <c r="A201" s="176"/>
      <c r="B201" s="178"/>
      <c r="C201" s="178" t="s">
        <v>114</v>
      </c>
      <c r="D201" s="178" t="s">
        <v>32</v>
      </c>
      <c r="E201" s="178" t="s">
        <v>115</v>
      </c>
      <c r="F201" s="178" t="s">
        <v>275</v>
      </c>
      <c r="G201" s="178"/>
      <c r="H201" s="178"/>
      <c r="I201" s="203">
        <v>0.5175</v>
      </c>
      <c r="J201" s="215">
        <f t="shared" si="7"/>
        <v>0</v>
      </c>
    </row>
    <row r="202" spans="1:10">
      <c r="A202" s="176"/>
      <c r="B202" s="178"/>
      <c r="C202" s="178" t="s">
        <v>217</v>
      </c>
      <c r="D202" s="178" t="s">
        <v>32</v>
      </c>
      <c r="E202" s="178" t="s">
        <v>115</v>
      </c>
      <c r="F202" s="178" t="s">
        <v>273</v>
      </c>
      <c r="G202" s="178"/>
      <c r="H202" s="178"/>
      <c r="I202" s="203">
        <v>0.448</v>
      </c>
      <c r="J202" s="215">
        <f t="shared" si="7"/>
        <v>0</v>
      </c>
    </row>
    <row r="203" spans="1:10">
      <c r="A203" s="176"/>
      <c r="B203" s="178"/>
      <c r="C203" s="178" t="s">
        <v>114</v>
      </c>
      <c r="D203" s="178" t="s">
        <v>32</v>
      </c>
      <c r="E203" s="178" t="s">
        <v>115</v>
      </c>
      <c r="F203" s="178" t="s">
        <v>276</v>
      </c>
      <c r="G203" s="178"/>
      <c r="H203" s="178"/>
      <c r="I203" s="203">
        <v>0.1831</v>
      </c>
      <c r="J203" s="215">
        <f t="shared" si="7"/>
        <v>0</v>
      </c>
    </row>
    <row r="204" spans="1:10">
      <c r="A204" s="176"/>
      <c r="B204" s="178"/>
      <c r="C204" s="178" t="s">
        <v>220</v>
      </c>
      <c r="D204" s="178" t="s">
        <v>32</v>
      </c>
      <c r="E204" s="178" t="s">
        <v>115</v>
      </c>
      <c r="F204" s="178" t="s">
        <v>273</v>
      </c>
      <c r="G204" s="178"/>
      <c r="H204" s="178"/>
      <c r="I204" s="203">
        <v>0.448</v>
      </c>
      <c r="J204" s="215">
        <f t="shared" si="7"/>
        <v>0</v>
      </c>
    </row>
    <row r="205" spans="1:10">
      <c r="A205" s="176"/>
      <c r="B205" s="178"/>
      <c r="C205" s="178" t="s">
        <v>223</v>
      </c>
      <c r="D205" s="178" t="s">
        <v>32</v>
      </c>
      <c r="E205" s="178" t="s">
        <v>115</v>
      </c>
      <c r="F205" s="178" t="s">
        <v>277</v>
      </c>
      <c r="G205" s="178"/>
      <c r="H205" s="178"/>
      <c r="I205" s="203">
        <v>0.8184</v>
      </c>
      <c r="J205" s="215">
        <f t="shared" si="7"/>
        <v>0</v>
      </c>
    </row>
    <row r="206" spans="1:10">
      <c r="A206" s="176"/>
      <c r="B206" s="178"/>
      <c r="C206" s="178" t="s">
        <v>223</v>
      </c>
      <c r="D206" s="178" t="s">
        <v>32</v>
      </c>
      <c r="E206" s="178" t="s">
        <v>111</v>
      </c>
      <c r="F206" s="178" t="s">
        <v>278</v>
      </c>
      <c r="G206" s="178"/>
      <c r="H206" s="178"/>
      <c r="I206" s="203">
        <v>0.1162</v>
      </c>
      <c r="J206" s="215">
        <f t="shared" si="7"/>
        <v>0</v>
      </c>
    </row>
    <row r="207" spans="1:10">
      <c r="A207" s="176"/>
      <c r="B207" s="178"/>
      <c r="C207" s="178" t="s">
        <v>110</v>
      </c>
      <c r="D207" s="178" t="s">
        <v>32</v>
      </c>
      <c r="E207" s="178" t="s">
        <v>111</v>
      </c>
      <c r="F207" s="178" t="s">
        <v>279</v>
      </c>
      <c r="G207" s="178"/>
      <c r="H207" s="178"/>
      <c r="I207" s="203">
        <v>0.09</v>
      </c>
      <c r="J207" s="215">
        <f t="shared" si="7"/>
        <v>0</v>
      </c>
    </row>
    <row r="208" spans="1:10">
      <c r="A208" s="176"/>
      <c r="B208" s="178"/>
      <c r="C208" s="178" t="s">
        <v>145</v>
      </c>
      <c r="D208" s="178" t="s">
        <v>32</v>
      </c>
      <c r="E208" s="178" t="s">
        <v>111</v>
      </c>
      <c r="F208" s="178" t="s">
        <v>280</v>
      </c>
      <c r="G208" s="178"/>
      <c r="H208" s="178"/>
      <c r="I208" s="203">
        <v>0.1233</v>
      </c>
      <c r="J208" s="215">
        <f t="shared" si="7"/>
        <v>0</v>
      </c>
    </row>
    <row r="209" spans="1:10">
      <c r="A209" s="176"/>
      <c r="B209" s="178"/>
      <c r="C209" s="178" t="s">
        <v>146</v>
      </c>
      <c r="D209" s="178" t="s">
        <v>32</v>
      </c>
      <c r="E209" s="178" t="s">
        <v>115</v>
      </c>
      <c r="F209" s="178" t="s">
        <v>281</v>
      </c>
      <c r="G209" s="178"/>
      <c r="H209" s="178"/>
      <c r="I209" s="203">
        <v>0.0658</v>
      </c>
      <c r="J209" s="215">
        <f t="shared" si="7"/>
        <v>0</v>
      </c>
    </row>
    <row r="210" spans="1:10">
      <c r="A210" s="176"/>
      <c r="B210" s="178"/>
      <c r="C210" s="178" t="s">
        <v>114</v>
      </c>
      <c r="D210" s="178" t="s">
        <v>32</v>
      </c>
      <c r="E210" s="178" t="s">
        <v>115</v>
      </c>
      <c r="F210" s="178" t="s">
        <v>282</v>
      </c>
      <c r="G210" s="178"/>
      <c r="H210" s="178"/>
      <c r="I210" s="203">
        <v>0.465</v>
      </c>
      <c r="J210" s="215">
        <f t="shared" si="7"/>
        <v>0</v>
      </c>
    </row>
    <row r="211" spans="1:10">
      <c r="A211" s="176"/>
      <c r="B211" s="178"/>
      <c r="C211" s="178" t="s">
        <v>139</v>
      </c>
      <c r="D211" s="178" t="s">
        <v>32</v>
      </c>
      <c r="E211" s="178" t="s">
        <v>115</v>
      </c>
      <c r="F211" s="178" t="s">
        <v>283</v>
      </c>
      <c r="G211" s="178"/>
      <c r="H211" s="178"/>
      <c r="I211" s="203">
        <v>0.2325</v>
      </c>
      <c r="J211" s="215">
        <f t="shared" si="7"/>
        <v>0</v>
      </c>
    </row>
    <row r="212" spans="1:10">
      <c r="A212" s="176"/>
      <c r="B212" s="178"/>
      <c r="C212" s="178" t="s">
        <v>114</v>
      </c>
      <c r="D212" s="178" t="s">
        <v>32</v>
      </c>
      <c r="E212" s="178" t="s">
        <v>115</v>
      </c>
      <c r="F212" s="178" t="s">
        <v>284</v>
      </c>
      <c r="G212" s="178"/>
      <c r="H212" s="178"/>
      <c r="I212" s="203">
        <v>0.6975</v>
      </c>
      <c r="J212" s="215">
        <f t="shared" si="7"/>
        <v>0</v>
      </c>
    </row>
    <row r="213" spans="1:10">
      <c r="A213" s="176"/>
      <c r="B213" s="178"/>
      <c r="C213" s="178" t="s">
        <v>110</v>
      </c>
      <c r="D213" s="178" t="s">
        <v>32</v>
      </c>
      <c r="E213" s="178" t="s">
        <v>115</v>
      </c>
      <c r="F213" s="178" t="s">
        <v>283</v>
      </c>
      <c r="G213" s="178"/>
      <c r="H213" s="178"/>
      <c r="I213" s="203">
        <v>0.2325</v>
      </c>
      <c r="J213" s="215">
        <f t="shared" si="7"/>
        <v>0</v>
      </c>
    </row>
    <row r="214" spans="1:10">
      <c r="A214" s="176"/>
      <c r="B214" s="178"/>
      <c r="C214" s="178" t="s">
        <v>31</v>
      </c>
      <c r="D214" s="178" t="s">
        <v>32</v>
      </c>
      <c r="E214" s="178" t="s">
        <v>111</v>
      </c>
      <c r="F214" s="178" t="s">
        <v>285</v>
      </c>
      <c r="G214" s="178"/>
      <c r="H214" s="178"/>
      <c r="I214" s="203">
        <v>0.2382</v>
      </c>
      <c r="J214" s="215">
        <f t="shared" si="7"/>
        <v>0</v>
      </c>
    </row>
    <row r="215" spans="1:10">
      <c r="A215" s="176"/>
      <c r="B215" s="178"/>
      <c r="C215" s="178" t="s">
        <v>35</v>
      </c>
      <c r="D215" s="178" t="s">
        <v>32</v>
      </c>
      <c r="E215" s="178" t="s">
        <v>111</v>
      </c>
      <c r="F215" s="178" t="s">
        <v>285</v>
      </c>
      <c r="G215" s="178"/>
      <c r="H215" s="178"/>
      <c r="I215" s="203">
        <v>0.2382</v>
      </c>
      <c r="J215" s="215">
        <f t="shared" si="7"/>
        <v>0</v>
      </c>
    </row>
    <row r="216" spans="1:10">
      <c r="A216" s="176"/>
      <c r="B216" s="178"/>
      <c r="C216" s="178" t="s">
        <v>31</v>
      </c>
      <c r="D216" s="178" t="s">
        <v>32</v>
      </c>
      <c r="E216" s="178" t="s">
        <v>111</v>
      </c>
      <c r="F216" s="178" t="s">
        <v>286</v>
      </c>
      <c r="G216" s="178"/>
      <c r="H216" s="178"/>
      <c r="I216" s="203">
        <v>0.6631</v>
      </c>
      <c r="J216" s="215">
        <f t="shared" si="7"/>
        <v>0</v>
      </c>
    </row>
    <row r="217" spans="1:10">
      <c r="A217" s="176"/>
      <c r="B217" s="178"/>
      <c r="C217" s="178" t="s">
        <v>35</v>
      </c>
      <c r="D217" s="178" t="s">
        <v>32</v>
      </c>
      <c r="E217" s="178" t="s">
        <v>111</v>
      </c>
      <c r="F217" s="178" t="s">
        <v>286</v>
      </c>
      <c r="G217" s="178"/>
      <c r="H217" s="178"/>
      <c r="I217" s="203">
        <v>0.6631</v>
      </c>
      <c r="J217" s="215">
        <f t="shared" si="7"/>
        <v>0</v>
      </c>
    </row>
    <row r="218" spans="1:10">
      <c r="A218" s="176"/>
      <c r="B218" s="178"/>
      <c r="C218" s="178" t="s">
        <v>47</v>
      </c>
      <c r="D218" s="178" t="s">
        <v>48</v>
      </c>
      <c r="E218" s="178" t="s">
        <v>48</v>
      </c>
      <c r="F218" s="178" t="s">
        <v>49</v>
      </c>
      <c r="G218" s="178"/>
      <c r="H218" s="178"/>
      <c r="I218" s="178">
        <v>60</v>
      </c>
      <c r="J218" s="215">
        <f t="shared" si="7"/>
        <v>0</v>
      </c>
    </row>
    <row r="219" spans="1:10">
      <c r="A219" s="176"/>
      <c r="B219" s="178"/>
      <c r="C219" s="178" t="s">
        <v>59</v>
      </c>
      <c r="D219" s="178" t="s">
        <v>48</v>
      </c>
      <c r="E219" s="178" t="s">
        <v>48</v>
      </c>
      <c r="F219" s="178" t="s">
        <v>60</v>
      </c>
      <c r="G219" s="178"/>
      <c r="H219" s="178"/>
      <c r="I219" s="178">
        <v>12</v>
      </c>
      <c r="J219" s="215">
        <f t="shared" si="7"/>
        <v>0</v>
      </c>
    </row>
    <row r="220" spans="1:10">
      <c r="A220" s="176"/>
      <c r="B220" s="178"/>
      <c r="C220" s="178" t="s">
        <v>55</v>
      </c>
      <c r="D220" s="178" t="s">
        <v>56</v>
      </c>
      <c r="E220" s="178" t="s">
        <v>56</v>
      </c>
      <c r="F220" s="178" t="s">
        <v>65</v>
      </c>
      <c r="G220" s="178"/>
      <c r="H220" s="178"/>
      <c r="I220" s="178">
        <v>6</v>
      </c>
      <c r="J220" s="215">
        <f t="shared" si="7"/>
        <v>0</v>
      </c>
    </row>
    <row r="221" spans="1:10">
      <c r="A221" s="176"/>
      <c r="B221" s="178"/>
      <c r="C221" s="178" t="s">
        <v>151</v>
      </c>
      <c r="D221" s="178" t="s">
        <v>56</v>
      </c>
      <c r="E221" s="178" t="s">
        <v>56</v>
      </c>
      <c r="F221" s="178" t="s">
        <v>152</v>
      </c>
      <c r="G221" s="178"/>
      <c r="H221" s="178"/>
      <c r="I221" s="178">
        <v>4</v>
      </c>
      <c r="J221" s="215">
        <f t="shared" si="7"/>
        <v>0</v>
      </c>
    </row>
    <row r="222" spans="1:10">
      <c r="A222" s="176"/>
      <c r="B222" s="178"/>
      <c r="C222" s="178" t="s">
        <v>55</v>
      </c>
      <c r="D222" s="178" t="s">
        <v>56</v>
      </c>
      <c r="E222" s="178" t="s">
        <v>56</v>
      </c>
      <c r="F222" s="178" t="s">
        <v>57</v>
      </c>
      <c r="G222" s="178"/>
      <c r="H222" s="178"/>
      <c r="I222" s="178">
        <v>6</v>
      </c>
      <c r="J222" s="215">
        <f t="shared" si="7"/>
        <v>0</v>
      </c>
    </row>
    <row r="223" ht="14.25" spans="1:10">
      <c r="A223" s="224" t="s">
        <v>287</v>
      </c>
      <c r="B223" s="225"/>
      <c r="C223" s="225"/>
      <c r="D223" s="225"/>
      <c r="E223" s="225"/>
      <c r="F223" s="225"/>
      <c r="G223" s="225"/>
      <c r="H223" s="225"/>
      <c r="I223" s="225"/>
      <c r="J223" s="226">
        <f>SUM(J195:J222)</f>
        <v>0</v>
      </c>
    </row>
    <row r="225" spans="1:10">
      <c r="A225" s="63" t="s">
        <v>17</v>
      </c>
      <c r="B225" s="64" t="s">
        <v>18</v>
      </c>
      <c r="C225" s="64" t="s">
        <v>105</v>
      </c>
      <c r="D225" s="64" t="s">
        <v>45</v>
      </c>
      <c r="E225" s="64" t="s">
        <v>21</v>
      </c>
      <c r="F225" s="206" t="s">
        <v>106</v>
      </c>
      <c r="G225" s="208"/>
      <c r="H225" s="208" t="s">
        <v>23</v>
      </c>
      <c r="I225" s="196" t="s">
        <v>107</v>
      </c>
      <c r="J225" s="50" t="s">
        <v>26</v>
      </c>
    </row>
    <row r="226" ht="14.25" spans="1:10">
      <c r="A226" s="63"/>
      <c r="B226" s="64"/>
      <c r="C226" s="64"/>
      <c r="D226" s="64"/>
      <c r="E226" s="64"/>
      <c r="F226" s="49"/>
      <c r="G226" s="210"/>
      <c r="H226" s="210"/>
      <c r="I226" s="6"/>
      <c r="J226" s="50"/>
    </row>
    <row r="227" spans="1:10">
      <c r="A227" s="171" t="s">
        <v>108</v>
      </c>
      <c r="B227" s="211" t="s">
        <v>288</v>
      </c>
      <c r="C227" s="173" t="s">
        <v>117</v>
      </c>
      <c r="D227" s="173" t="s">
        <v>32</v>
      </c>
      <c r="E227" s="173" t="s">
        <v>115</v>
      </c>
      <c r="F227" s="173" t="s">
        <v>289</v>
      </c>
      <c r="G227" s="173"/>
      <c r="H227" s="173"/>
      <c r="I227" s="201">
        <v>0.636</v>
      </c>
      <c r="J227" s="214">
        <f t="shared" ref="J227:J248" si="8">H227*I227</f>
        <v>0</v>
      </c>
    </row>
    <row r="228" spans="1:10">
      <c r="A228" s="176"/>
      <c r="B228" s="178"/>
      <c r="C228" s="178" t="s">
        <v>131</v>
      </c>
      <c r="D228" s="178" t="s">
        <v>32</v>
      </c>
      <c r="E228" s="178" t="s">
        <v>111</v>
      </c>
      <c r="F228" s="178" t="s">
        <v>290</v>
      </c>
      <c r="G228" s="178"/>
      <c r="H228" s="178"/>
      <c r="I228" s="203">
        <v>0.009</v>
      </c>
      <c r="J228" s="215">
        <f t="shared" si="8"/>
        <v>0</v>
      </c>
    </row>
    <row r="229" spans="1:10">
      <c r="A229" s="176"/>
      <c r="B229" s="178"/>
      <c r="C229" s="178" t="s">
        <v>110</v>
      </c>
      <c r="D229" s="178" t="s">
        <v>32</v>
      </c>
      <c r="E229" s="178" t="s">
        <v>115</v>
      </c>
      <c r="F229" s="178" t="s">
        <v>291</v>
      </c>
      <c r="G229" s="178"/>
      <c r="H229" s="178"/>
      <c r="I229" s="203">
        <v>0.0591</v>
      </c>
      <c r="J229" s="215">
        <f t="shared" si="8"/>
        <v>0</v>
      </c>
    </row>
    <row r="230" spans="1:10">
      <c r="A230" s="176"/>
      <c r="B230" s="178"/>
      <c r="C230" s="178" t="s">
        <v>119</v>
      </c>
      <c r="D230" s="178" t="s">
        <v>32</v>
      </c>
      <c r="E230" s="178" t="s">
        <v>111</v>
      </c>
      <c r="F230" s="178" t="s">
        <v>292</v>
      </c>
      <c r="G230" s="178"/>
      <c r="H230" s="178"/>
      <c r="I230" s="203">
        <v>0.0821</v>
      </c>
      <c r="J230" s="215">
        <f t="shared" si="8"/>
        <v>0</v>
      </c>
    </row>
    <row r="231" spans="1:10">
      <c r="A231" s="176"/>
      <c r="B231" s="178"/>
      <c r="C231" s="178" t="s">
        <v>121</v>
      </c>
      <c r="D231" s="178" t="s">
        <v>32</v>
      </c>
      <c r="E231" s="178" t="s">
        <v>115</v>
      </c>
      <c r="F231" s="178" t="s">
        <v>293</v>
      </c>
      <c r="G231" s="178"/>
      <c r="H231" s="178"/>
      <c r="I231" s="203">
        <v>0.0491</v>
      </c>
      <c r="J231" s="215">
        <f t="shared" si="8"/>
        <v>0</v>
      </c>
    </row>
    <row r="232" spans="1:10">
      <c r="A232" s="176"/>
      <c r="B232" s="178"/>
      <c r="C232" s="178" t="s">
        <v>123</v>
      </c>
      <c r="D232" s="178" t="s">
        <v>32</v>
      </c>
      <c r="E232" s="178" t="s">
        <v>115</v>
      </c>
      <c r="F232" s="178" t="s">
        <v>293</v>
      </c>
      <c r="G232" s="178"/>
      <c r="H232" s="178"/>
      <c r="I232" s="203">
        <v>0.0491</v>
      </c>
      <c r="J232" s="215">
        <f t="shared" si="8"/>
        <v>0</v>
      </c>
    </row>
    <row r="233" spans="1:10">
      <c r="A233" s="176"/>
      <c r="B233" s="178"/>
      <c r="C233" s="178" t="s">
        <v>124</v>
      </c>
      <c r="D233" s="178" t="s">
        <v>32</v>
      </c>
      <c r="E233" s="178" t="s">
        <v>115</v>
      </c>
      <c r="F233" s="178" t="s">
        <v>294</v>
      </c>
      <c r="G233" s="178"/>
      <c r="H233" s="178"/>
      <c r="I233" s="203">
        <v>0.091</v>
      </c>
      <c r="J233" s="215">
        <f t="shared" si="8"/>
        <v>0</v>
      </c>
    </row>
    <row r="234" spans="1:10">
      <c r="A234" s="176"/>
      <c r="B234" s="178"/>
      <c r="C234" s="178" t="s">
        <v>126</v>
      </c>
      <c r="D234" s="178" t="s">
        <v>32</v>
      </c>
      <c r="E234" s="178" t="s">
        <v>115</v>
      </c>
      <c r="F234" s="178" t="s">
        <v>294</v>
      </c>
      <c r="G234" s="178"/>
      <c r="H234" s="178"/>
      <c r="I234" s="203">
        <v>0.091</v>
      </c>
      <c r="J234" s="215">
        <f t="shared" si="8"/>
        <v>0</v>
      </c>
    </row>
    <row r="235" spans="1:10">
      <c r="A235" s="176"/>
      <c r="B235" s="178"/>
      <c r="C235" s="178" t="s">
        <v>127</v>
      </c>
      <c r="D235" s="178" t="s">
        <v>32</v>
      </c>
      <c r="E235" s="178" t="s">
        <v>115</v>
      </c>
      <c r="F235" s="178" t="s">
        <v>295</v>
      </c>
      <c r="G235" s="178"/>
      <c r="H235" s="178"/>
      <c r="I235" s="203">
        <v>0.1257</v>
      </c>
      <c r="J235" s="215">
        <f t="shared" si="8"/>
        <v>0</v>
      </c>
    </row>
    <row r="236" spans="1:10">
      <c r="A236" s="176"/>
      <c r="B236" s="178"/>
      <c r="C236" s="178" t="s">
        <v>221</v>
      </c>
      <c r="D236" s="178" t="s">
        <v>32</v>
      </c>
      <c r="E236" s="178" t="s">
        <v>115</v>
      </c>
      <c r="F236" s="178" t="s">
        <v>291</v>
      </c>
      <c r="G236" s="178"/>
      <c r="H236" s="178"/>
      <c r="I236" s="203">
        <v>0.1183</v>
      </c>
      <c r="J236" s="215">
        <f t="shared" si="8"/>
        <v>0</v>
      </c>
    </row>
    <row r="237" spans="1:10">
      <c r="A237" s="176"/>
      <c r="B237" s="178"/>
      <c r="C237" s="178" t="s">
        <v>119</v>
      </c>
      <c r="D237" s="178" t="s">
        <v>32</v>
      </c>
      <c r="E237" s="178" t="s">
        <v>111</v>
      </c>
      <c r="F237" s="178" t="s">
        <v>296</v>
      </c>
      <c r="G237" s="178"/>
      <c r="H237" s="178"/>
      <c r="I237" s="203">
        <v>0.0823</v>
      </c>
      <c r="J237" s="215">
        <f t="shared" si="8"/>
        <v>0</v>
      </c>
    </row>
    <row r="238" spans="1:10">
      <c r="A238" s="176"/>
      <c r="B238" s="178"/>
      <c r="C238" s="178" t="s">
        <v>121</v>
      </c>
      <c r="D238" s="178" t="s">
        <v>32</v>
      </c>
      <c r="E238" s="178" t="s">
        <v>115</v>
      </c>
      <c r="F238" s="178" t="s">
        <v>297</v>
      </c>
      <c r="G238" s="178"/>
      <c r="H238" s="178"/>
      <c r="I238" s="203">
        <v>0.0493</v>
      </c>
      <c r="J238" s="215">
        <f t="shared" si="8"/>
        <v>0</v>
      </c>
    </row>
    <row r="239" spans="1:10">
      <c r="A239" s="176"/>
      <c r="B239" s="178"/>
      <c r="C239" s="178" t="s">
        <v>123</v>
      </c>
      <c r="D239" s="178" t="s">
        <v>32</v>
      </c>
      <c r="E239" s="178" t="s">
        <v>115</v>
      </c>
      <c r="F239" s="178" t="s">
        <v>297</v>
      </c>
      <c r="G239" s="178"/>
      <c r="H239" s="178"/>
      <c r="I239" s="203">
        <v>0.0493</v>
      </c>
      <c r="J239" s="215">
        <f t="shared" si="8"/>
        <v>0</v>
      </c>
    </row>
    <row r="240" spans="1:10">
      <c r="A240" s="176"/>
      <c r="B240" s="178"/>
      <c r="C240" s="178" t="s">
        <v>127</v>
      </c>
      <c r="D240" s="178" t="s">
        <v>32</v>
      </c>
      <c r="E240" s="178" t="s">
        <v>115</v>
      </c>
      <c r="F240" s="178" t="s">
        <v>298</v>
      </c>
      <c r="G240" s="178"/>
      <c r="H240" s="178"/>
      <c r="I240" s="203">
        <v>0.126</v>
      </c>
      <c r="J240" s="215">
        <f t="shared" si="8"/>
        <v>0</v>
      </c>
    </row>
    <row r="241" spans="1:10">
      <c r="A241" s="176"/>
      <c r="B241" s="178"/>
      <c r="C241" s="178" t="s">
        <v>131</v>
      </c>
      <c r="D241" s="178" t="s">
        <v>32</v>
      </c>
      <c r="E241" s="178" t="s">
        <v>111</v>
      </c>
      <c r="F241" s="178" t="s">
        <v>299</v>
      </c>
      <c r="G241" s="178"/>
      <c r="H241" s="178"/>
      <c r="I241" s="203">
        <v>0.117</v>
      </c>
      <c r="J241" s="215">
        <f t="shared" si="8"/>
        <v>0</v>
      </c>
    </row>
    <row r="242" spans="1:10">
      <c r="A242" s="176"/>
      <c r="B242" s="178"/>
      <c r="C242" s="178" t="s">
        <v>223</v>
      </c>
      <c r="D242" s="178" t="s">
        <v>32</v>
      </c>
      <c r="E242" s="178" t="s">
        <v>115</v>
      </c>
      <c r="F242" s="178" t="s">
        <v>291</v>
      </c>
      <c r="G242" s="178"/>
      <c r="H242" s="178"/>
      <c r="I242" s="203">
        <v>0.0591</v>
      </c>
      <c r="J242" s="215">
        <f t="shared" si="8"/>
        <v>0</v>
      </c>
    </row>
    <row r="243" spans="1:10">
      <c r="A243" s="176"/>
      <c r="B243" s="178"/>
      <c r="C243" s="178" t="s">
        <v>114</v>
      </c>
      <c r="D243" s="178" t="s">
        <v>32</v>
      </c>
      <c r="E243" s="178" t="s">
        <v>115</v>
      </c>
      <c r="F243" s="178" t="s">
        <v>300</v>
      </c>
      <c r="G243" s="178"/>
      <c r="H243" s="178"/>
      <c r="I243" s="203">
        <v>1.2459</v>
      </c>
      <c r="J243" s="215">
        <f t="shared" si="8"/>
        <v>0</v>
      </c>
    </row>
    <row r="244" spans="1:10">
      <c r="A244" s="176"/>
      <c r="B244" s="178"/>
      <c r="C244" s="178" t="s">
        <v>142</v>
      </c>
      <c r="D244" s="178" t="s">
        <v>32</v>
      </c>
      <c r="E244" s="178" t="s">
        <v>115</v>
      </c>
      <c r="F244" s="178" t="s">
        <v>301</v>
      </c>
      <c r="G244" s="178"/>
      <c r="H244" s="178"/>
      <c r="I244" s="203">
        <v>0.932</v>
      </c>
      <c r="J244" s="215">
        <f t="shared" si="8"/>
        <v>0</v>
      </c>
    </row>
    <row r="245" spans="1:10">
      <c r="A245" s="176"/>
      <c r="B245" s="178"/>
      <c r="C245" s="178" t="s">
        <v>114</v>
      </c>
      <c r="D245" s="178" t="s">
        <v>32</v>
      </c>
      <c r="E245" s="178" t="s">
        <v>115</v>
      </c>
      <c r="F245" s="178" t="s">
        <v>302</v>
      </c>
      <c r="G245" s="178"/>
      <c r="H245" s="178"/>
      <c r="I245" s="203">
        <v>0.1962</v>
      </c>
      <c r="J245" s="215">
        <f t="shared" si="8"/>
        <v>0</v>
      </c>
    </row>
    <row r="246" spans="1:10">
      <c r="A246" s="176"/>
      <c r="B246" s="178"/>
      <c r="C246" s="178" t="s">
        <v>47</v>
      </c>
      <c r="D246" s="178" t="s">
        <v>48</v>
      </c>
      <c r="E246" s="178" t="s">
        <v>48</v>
      </c>
      <c r="F246" s="178" t="s">
        <v>49</v>
      </c>
      <c r="G246" s="178"/>
      <c r="H246" s="178"/>
      <c r="I246" s="178">
        <v>63</v>
      </c>
      <c r="J246" s="215">
        <f t="shared" si="8"/>
        <v>0</v>
      </c>
    </row>
    <row r="247" spans="1:10">
      <c r="A247" s="176"/>
      <c r="B247" s="178"/>
      <c r="C247" s="178" t="s">
        <v>53</v>
      </c>
      <c r="D247" s="178" t="s">
        <v>48</v>
      </c>
      <c r="E247" s="178" t="s">
        <v>48</v>
      </c>
      <c r="F247" s="178" t="s">
        <v>66</v>
      </c>
      <c r="G247" s="178"/>
      <c r="H247" s="178"/>
      <c r="I247" s="178">
        <v>2</v>
      </c>
      <c r="J247" s="215">
        <f t="shared" si="8"/>
        <v>0</v>
      </c>
    </row>
    <row r="248" spans="1:10">
      <c r="A248" s="176"/>
      <c r="B248" s="178"/>
      <c r="C248" s="178" t="s">
        <v>151</v>
      </c>
      <c r="D248" s="178" t="s">
        <v>56</v>
      </c>
      <c r="E248" s="178" t="s">
        <v>56</v>
      </c>
      <c r="F248" s="178" t="s">
        <v>152</v>
      </c>
      <c r="G248" s="178"/>
      <c r="H248" s="178"/>
      <c r="I248" s="178">
        <v>2</v>
      </c>
      <c r="J248" s="215">
        <f t="shared" si="8"/>
        <v>0</v>
      </c>
    </row>
    <row r="249" ht="14.25" spans="1:10">
      <c r="A249" s="224" t="s">
        <v>303</v>
      </c>
      <c r="B249" s="225"/>
      <c r="C249" s="225"/>
      <c r="D249" s="225"/>
      <c r="E249" s="225"/>
      <c r="F249" s="225"/>
      <c r="G249" s="225"/>
      <c r="H249" s="225"/>
      <c r="I249" s="225"/>
      <c r="J249" s="226">
        <f>SUM(J227:J248)</f>
        <v>0</v>
      </c>
    </row>
    <row r="251" spans="1:10">
      <c r="A251" s="63" t="s">
        <v>17</v>
      </c>
      <c r="B251" s="64" t="s">
        <v>18</v>
      </c>
      <c r="C251" s="64" t="s">
        <v>105</v>
      </c>
      <c r="D251" s="64" t="s">
        <v>45</v>
      </c>
      <c r="E251" s="64" t="s">
        <v>21</v>
      </c>
      <c r="F251" s="206" t="s">
        <v>106</v>
      </c>
      <c r="G251" s="208"/>
      <c r="H251" s="208" t="s">
        <v>23</v>
      </c>
      <c r="I251" s="196" t="s">
        <v>107</v>
      </c>
      <c r="J251" s="50" t="s">
        <v>26</v>
      </c>
    </row>
    <row r="252" ht="14.25" spans="1:10">
      <c r="A252" s="63"/>
      <c r="B252" s="64"/>
      <c r="C252" s="64"/>
      <c r="D252" s="64"/>
      <c r="E252" s="64"/>
      <c r="F252" s="49"/>
      <c r="G252" s="210"/>
      <c r="H252" s="210"/>
      <c r="I252" s="6"/>
      <c r="J252" s="50"/>
    </row>
    <row r="253" spans="1:10">
      <c r="A253" s="171" t="s">
        <v>154</v>
      </c>
      <c r="B253" s="211" t="s">
        <v>304</v>
      </c>
      <c r="C253" s="173" t="s">
        <v>110</v>
      </c>
      <c r="D253" s="173" t="s">
        <v>32</v>
      </c>
      <c r="E253" s="173" t="s">
        <v>111</v>
      </c>
      <c r="F253" s="173" t="s">
        <v>305</v>
      </c>
      <c r="G253" s="173"/>
      <c r="H253" s="173"/>
      <c r="I253" s="201">
        <v>1.2972</v>
      </c>
      <c r="J253" s="214">
        <f t="shared" ref="J253:J282" si="9">H253*I253</f>
        <v>0</v>
      </c>
    </row>
    <row r="254" spans="1:10">
      <c r="A254" s="176"/>
      <c r="B254" s="178"/>
      <c r="C254" s="178" t="s">
        <v>110</v>
      </c>
      <c r="D254" s="178" t="s">
        <v>32</v>
      </c>
      <c r="E254" s="178" t="s">
        <v>115</v>
      </c>
      <c r="F254" s="178" t="s">
        <v>306</v>
      </c>
      <c r="G254" s="178"/>
      <c r="H254" s="178"/>
      <c r="I254" s="203">
        <v>1.225</v>
      </c>
      <c r="J254" s="215">
        <f t="shared" si="9"/>
        <v>0</v>
      </c>
    </row>
    <row r="255" spans="1:10">
      <c r="A255" s="176"/>
      <c r="B255" s="178"/>
      <c r="C255" s="178" t="s">
        <v>199</v>
      </c>
      <c r="D255" s="178" t="s">
        <v>32</v>
      </c>
      <c r="E255" s="178" t="s">
        <v>115</v>
      </c>
      <c r="F255" s="178" t="s">
        <v>307</v>
      </c>
      <c r="G255" s="178"/>
      <c r="H255" s="178"/>
      <c r="I255" s="203">
        <v>0.0466</v>
      </c>
      <c r="J255" s="215">
        <f t="shared" si="9"/>
        <v>0</v>
      </c>
    </row>
    <row r="256" spans="1:10">
      <c r="A256" s="176"/>
      <c r="B256" s="178"/>
      <c r="C256" s="178" t="s">
        <v>117</v>
      </c>
      <c r="D256" s="178" t="s">
        <v>32</v>
      </c>
      <c r="E256" s="178" t="s">
        <v>115</v>
      </c>
      <c r="F256" s="178" t="s">
        <v>308</v>
      </c>
      <c r="G256" s="178"/>
      <c r="H256" s="178"/>
      <c r="I256" s="203">
        <v>0.225</v>
      </c>
      <c r="J256" s="215">
        <f t="shared" si="9"/>
        <v>0</v>
      </c>
    </row>
    <row r="257" spans="1:10">
      <c r="A257" s="176"/>
      <c r="B257" s="178"/>
      <c r="C257" s="178" t="s">
        <v>119</v>
      </c>
      <c r="D257" s="178" t="s">
        <v>32</v>
      </c>
      <c r="E257" s="178" t="s">
        <v>111</v>
      </c>
      <c r="F257" s="178" t="s">
        <v>309</v>
      </c>
      <c r="G257" s="178"/>
      <c r="H257" s="178"/>
      <c r="I257" s="203">
        <v>0.1596</v>
      </c>
      <c r="J257" s="215">
        <f t="shared" si="9"/>
        <v>0</v>
      </c>
    </row>
    <row r="258" spans="1:10">
      <c r="A258" s="176"/>
      <c r="B258" s="178"/>
      <c r="C258" s="178" t="s">
        <v>121</v>
      </c>
      <c r="D258" s="178" t="s">
        <v>32</v>
      </c>
      <c r="E258" s="178" t="s">
        <v>115</v>
      </c>
      <c r="F258" s="178" t="s">
        <v>310</v>
      </c>
      <c r="G258" s="178"/>
      <c r="H258" s="178"/>
      <c r="I258" s="203">
        <v>0.0815</v>
      </c>
      <c r="J258" s="215">
        <f t="shared" si="9"/>
        <v>0</v>
      </c>
    </row>
    <row r="259" spans="1:10">
      <c r="A259" s="176"/>
      <c r="B259" s="178"/>
      <c r="C259" s="178" t="s">
        <v>123</v>
      </c>
      <c r="D259" s="178" t="s">
        <v>32</v>
      </c>
      <c r="E259" s="178" t="s">
        <v>115</v>
      </c>
      <c r="F259" s="178" t="s">
        <v>310</v>
      </c>
      <c r="G259" s="178"/>
      <c r="H259" s="178"/>
      <c r="I259" s="203">
        <v>0.0815</v>
      </c>
      <c r="J259" s="215">
        <f t="shared" si="9"/>
        <v>0</v>
      </c>
    </row>
    <row r="260" spans="1:10">
      <c r="A260" s="176"/>
      <c r="B260" s="178"/>
      <c r="C260" s="178" t="s">
        <v>124</v>
      </c>
      <c r="D260" s="178" t="s">
        <v>32</v>
      </c>
      <c r="E260" s="178" t="s">
        <v>115</v>
      </c>
      <c r="F260" s="178" t="s">
        <v>311</v>
      </c>
      <c r="G260" s="178"/>
      <c r="H260" s="178"/>
      <c r="I260" s="203">
        <v>0.125</v>
      </c>
      <c r="J260" s="215">
        <f t="shared" si="9"/>
        <v>0</v>
      </c>
    </row>
    <row r="261" spans="1:10">
      <c r="A261" s="176"/>
      <c r="B261" s="178"/>
      <c r="C261" s="178" t="s">
        <v>126</v>
      </c>
      <c r="D261" s="178" t="s">
        <v>32</v>
      </c>
      <c r="E261" s="178" t="s">
        <v>115</v>
      </c>
      <c r="F261" s="178" t="s">
        <v>311</v>
      </c>
      <c r="G261" s="178"/>
      <c r="H261" s="178"/>
      <c r="I261" s="203">
        <v>0.125</v>
      </c>
      <c r="J261" s="215">
        <f t="shared" si="9"/>
        <v>0</v>
      </c>
    </row>
    <row r="262" spans="1:10">
      <c r="A262" s="176"/>
      <c r="B262" s="178"/>
      <c r="C262" s="178" t="s">
        <v>127</v>
      </c>
      <c r="D262" s="178" t="s">
        <v>32</v>
      </c>
      <c r="E262" s="178" t="s">
        <v>115</v>
      </c>
      <c r="F262" s="178" t="s">
        <v>312</v>
      </c>
      <c r="G262" s="178"/>
      <c r="H262" s="178"/>
      <c r="I262" s="203">
        <v>0.4778</v>
      </c>
      <c r="J262" s="215">
        <f t="shared" si="9"/>
        <v>0</v>
      </c>
    </row>
    <row r="263" spans="1:10">
      <c r="A263" s="176"/>
      <c r="B263" s="178"/>
      <c r="C263" s="178" t="s">
        <v>129</v>
      </c>
      <c r="D263" s="178" t="s">
        <v>32</v>
      </c>
      <c r="E263" s="178" t="s">
        <v>115</v>
      </c>
      <c r="F263" s="178" t="s">
        <v>313</v>
      </c>
      <c r="G263" s="178"/>
      <c r="H263" s="178"/>
      <c r="I263" s="203">
        <v>0.4276</v>
      </c>
      <c r="J263" s="215">
        <f t="shared" si="9"/>
        <v>0</v>
      </c>
    </row>
    <row r="264" spans="1:10">
      <c r="A264" s="176"/>
      <c r="B264" s="178"/>
      <c r="C264" s="178" t="s">
        <v>119</v>
      </c>
      <c r="D264" s="178" t="s">
        <v>32</v>
      </c>
      <c r="E264" s="178" t="s">
        <v>111</v>
      </c>
      <c r="F264" s="178" t="s">
        <v>314</v>
      </c>
      <c r="G264" s="178"/>
      <c r="H264" s="178"/>
      <c r="I264" s="203">
        <v>0.149</v>
      </c>
      <c r="J264" s="215">
        <f t="shared" si="9"/>
        <v>0</v>
      </c>
    </row>
    <row r="265" spans="1:10">
      <c r="A265" s="176"/>
      <c r="B265" s="178"/>
      <c r="C265" s="178" t="s">
        <v>121</v>
      </c>
      <c r="D265" s="178" t="s">
        <v>32</v>
      </c>
      <c r="E265" s="178" t="s">
        <v>115</v>
      </c>
      <c r="F265" s="178" t="s">
        <v>315</v>
      </c>
      <c r="G265" s="178"/>
      <c r="H265" s="178"/>
      <c r="I265" s="203">
        <v>0.0848</v>
      </c>
      <c r="J265" s="215">
        <f t="shared" si="9"/>
        <v>0</v>
      </c>
    </row>
    <row r="266" spans="1:10">
      <c r="A266" s="176"/>
      <c r="B266" s="178"/>
      <c r="C266" s="178" t="s">
        <v>123</v>
      </c>
      <c r="D266" s="178" t="s">
        <v>32</v>
      </c>
      <c r="E266" s="178" t="s">
        <v>115</v>
      </c>
      <c r="F266" s="178" t="s">
        <v>315</v>
      </c>
      <c r="G266" s="178"/>
      <c r="H266" s="178"/>
      <c r="I266" s="203">
        <v>0.0848</v>
      </c>
      <c r="J266" s="215">
        <f t="shared" si="9"/>
        <v>0</v>
      </c>
    </row>
    <row r="267" spans="1:10">
      <c r="A267" s="176"/>
      <c r="B267" s="178"/>
      <c r="C267" s="178" t="s">
        <v>124</v>
      </c>
      <c r="D267" s="178" t="s">
        <v>32</v>
      </c>
      <c r="E267" s="178" t="s">
        <v>115</v>
      </c>
      <c r="F267" s="178" t="s">
        <v>316</v>
      </c>
      <c r="G267" s="178"/>
      <c r="H267" s="178"/>
      <c r="I267" s="203">
        <v>0.13</v>
      </c>
      <c r="J267" s="215">
        <f t="shared" si="9"/>
        <v>0</v>
      </c>
    </row>
    <row r="268" spans="1:10">
      <c r="A268" s="176"/>
      <c r="B268" s="178"/>
      <c r="C268" s="178" t="s">
        <v>126</v>
      </c>
      <c r="D268" s="178" t="s">
        <v>32</v>
      </c>
      <c r="E268" s="178" t="s">
        <v>115</v>
      </c>
      <c r="F268" s="178" t="s">
        <v>316</v>
      </c>
      <c r="G268" s="178"/>
      <c r="H268" s="178"/>
      <c r="I268" s="203">
        <v>0.13</v>
      </c>
      <c r="J268" s="215">
        <f t="shared" si="9"/>
        <v>0</v>
      </c>
    </row>
    <row r="269" spans="1:10">
      <c r="A269" s="176"/>
      <c r="B269" s="178"/>
      <c r="C269" s="178" t="s">
        <v>114</v>
      </c>
      <c r="D269" s="178" t="s">
        <v>32</v>
      </c>
      <c r="E269" s="178" t="s">
        <v>115</v>
      </c>
      <c r="F269" s="178" t="s">
        <v>317</v>
      </c>
      <c r="G269" s="178"/>
      <c r="H269" s="178"/>
      <c r="I269" s="203">
        <v>0.2726</v>
      </c>
      <c r="J269" s="215">
        <f t="shared" si="9"/>
        <v>0</v>
      </c>
    </row>
    <row r="270" spans="1:10">
      <c r="A270" s="176"/>
      <c r="B270" s="178"/>
      <c r="C270" s="178" t="s">
        <v>129</v>
      </c>
      <c r="D270" s="178" t="s">
        <v>32</v>
      </c>
      <c r="E270" s="178" t="s">
        <v>115</v>
      </c>
      <c r="F270" s="178" t="s">
        <v>308</v>
      </c>
      <c r="G270" s="178"/>
      <c r="H270" s="178"/>
      <c r="I270" s="203">
        <v>0.225</v>
      </c>
      <c r="J270" s="215">
        <f t="shared" si="9"/>
        <v>0</v>
      </c>
    </row>
    <row r="271" spans="1:10">
      <c r="A271" s="176"/>
      <c r="B271" s="178"/>
      <c r="C271" s="178" t="s">
        <v>114</v>
      </c>
      <c r="D271" s="178" t="s">
        <v>32</v>
      </c>
      <c r="E271" s="178" t="s">
        <v>115</v>
      </c>
      <c r="F271" s="178" t="s">
        <v>318</v>
      </c>
      <c r="G271" s="178"/>
      <c r="H271" s="178"/>
      <c r="I271" s="203">
        <v>0.5242</v>
      </c>
      <c r="J271" s="215">
        <f t="shared" si="9"/>
        <v>0</v>
      </c>
    </row>
    <row r="272" spans="1:10">
      <c r="A272" s="176"/>
      <c r="B272" s="178"/>
      <c r="C272" s="178" t="s">
        <v>129</v>
      </c>
      <c r="D272" s="178" t="s">
        <v>32</v>
      </c>
      <c r="E272" s="178" t="s">
        <v>115</v>
      </c>
      <c r="F272" s="178" t="s">
        <v>319</v>
      </c>
      <c r="G272" s="178"/>
      <c r="H272" s="178"/>
      <c r="I272" s="203">
        <v>0.4462</v>
      </c>
      <c r="J272" s="215">
        <f t="shared" si="9"/>
        <v>0</v>
      </c>
    </row>
    <row r="273" spans="1:10">
      <c r="A273" s="176"/>
      <c r="B273" s="178"/>
      <c r="C273" s="178" t="s">
        <v>142</v>
      </c>
      <c r="D273" s="178" t="s">
        <v>32</v>
      </c>
      <c r="E273" s="178" t="s">
        <v>115</v>
      </c>
      <c r="F273" s="178" t="s">
        <v>308</v>
      </c>
      <c r="G273" s="178"/>
      <c r="H273" s="178"/>
      <c r="I273" s="203">
        <v>0.225</v>
      </c>
      <c r="J273" s="215">
        <f t="shared" si="9"/>
        <v>0</v>
      </c>
    </row>
    <row r="274" spans="1:10">
      <c r="A274" s="176"/>
      <c r="B274" s="178"/>
      <c r="C274" s="178" t="s">
        <v>145</v>
      </c>
      <c r="D274" s="178" t="s">
        <v>32</v>
      </c>
      <c r="E274" s="178" t="s">
        <v>115</v>
      </c>
      <c r="F274" s="178" t="s">
        <v>320</v>
      </c>
      <c r="G274" s="178"/>
      <c r="H274" s="178"/>
      <c r="I274" s="203">
        <v>0.0212</v>
      </c>
      <c r="J274" s="215">
        <f t="shared" si="9"/>
        <v>0</v>
      </c>
    </row>
    <row r="275" spans="1:10">
      <c r="A275" s="176"/>
      <c r="B275" s="178"/>
      <c r="C275" s="178" t="s">
        <v>146</v>
      </c>
      <c r="D275" s="178" t="s">
        <v>32</v>
      </c>
      <c r="E275" s="178" t="s">
        <v>115</v>
      </c>
      <c r="F275" s="178" t="s">
        <v>321</v>
      </c>
      <c r="G275" s="178"/>
      <c r="H275" s="178"/>
      <c r="I275" s="203">
        <v>0.0339</v>
      </c>
      <c r="J275" s="215">
        <f t="shared" si="9"/>
        <v>0</v>
      </c>
    </row>
    <row r="276" spans="1:10">
      <c r="A276" s="176"/>
      <c r="B276" s="178"/>
      <c r="C276" s="178" t="s">
        <v>223</v>
      </c>
      <c r="D276" s="178" t="s">
        <v>32</v>
      </c>
      <c r="E276" s="178" t="s">
        <v>115</v>
      </c>
      <c r="F276" s="178" t="s">
        <v>306</v>
      </c>
      <c r="G276" s="178"/>
      <c r="H276" s="178"/>
      <c r="I276" s="203">
        <v>1.225</v>
      </c>
      <c r="J276" s="215">
        <f t="shared" si="9"/>
        <v>0</v>
      </c>
    </row>
    <row r="277" spans="1:10">
      <c r="A277" s="176"/>
      <c r="B277" s="178"/>
      <c r="C277" s="178" t="s">
        <v>31</v>
      </c>
      <c r="D277" s="178" t="s">
        <v>32</v>
      </c>
      <c r="E277" s="178" t="s">
        <v>33</v>
      </c>
      <c r="F277" s="178" t="s">
        <v>322</v>
      </c>
      <c r="G277" s="178"/>
      <c r="H277" s="178"/>
      <c r="I277" s="203">
        <v>0.5839</v>
      </c>
      <c r="J277" s="215">
        <f t="shared" si="9"/>
        <v>0</v>
      </c>
    </row>
    <row r="278" spans="1:10">
      <c r="A278" s="176"/>
      <c r="B278" s="178"/>
      <c r="C278" s="178" t="s">
        <v>47</v>
      </c>
      <c r="D278" s="178" t="s">
        <v>48</v>
      </c>
      <c r="E278" s="178" t="s">
        <v>48</v>
      </c>
      <c r="F278" s="178" t="s">
        <v>49</v>
      </c>
      <c r="G278" s="178"/>
      <c r="H278" s="178"/>
      <c r="I278" s="178">
        <v>66</v>
      </c>
      <c r="J278" s="215">
        <f t="shared" si="9"/>
        <v>0</v>
      </c>
    </row>
    <row r="279" spans="1:10">
      <c r="A279" s="176"/>
      <c r="B279" s="178"/>
      <c r="C279" s="178" t="s">
        <v>50</v>
      </c>
      <c r="D279" s="178" t="s">
        <v>51</v>
      </c>
      <c r="E279" s="178" t="s">
        <v>51</v>
      </c>
      <c r="F279" s="178" t="s">
        <v>67</v>
      </c>
      <c r="G279" s="178"/>
      <c r="H279" s="178"/>
      <c r="I279" s="178">
        <v>3</v>
      </c>
      <c r="J279" s="215">
        <f t="shared" si="9"/>
        <v>0</v>
      </c>
    </row>
    <row r="280" spans="1:10">
      <c r="A280" s="176"/>
      <c r="B280" s="178"/>
      <c r="C280" s="178" t="s">
        <v>53</v>
      </c>
      <c r="D280" s="178" t="s">
        <v>48</v>
      </c>
      <c r="E280" s="178" t="s">
        <v>48</v>
      </c>
      <c r="F280" s="178" t="s">
        <v>68</v>
      </c>
      <c r="G280" s="178"/>
      <c r="H280" s="178"/>
      <c r="I280" s="178">
        <v>3</v>
      </c>
      <c r="J280" s="215">
        <f t="shared" si="9"/>
        <v>0</v>
      </c>
    </row>
    <row r="281" spans="1:10">
      <c r="A281" s="176"/>
      <c r="B281" s="178"/>
      <c r="C281" s="178" t="s">
        <v>151</v>
      </c>
      <c r="D281" s="178" t="s">
        <v>56</v>
      </c>
      <c r="E281" s="178" t="s">
        <v>56</v>
      </c>
      <c r="F281" s="178" t="s">
        <v>152</v>
      </c>
      <c r="G281" s="178"/>
      <c r="H281" s="178"/>
      <c r="I281" s="178">
        <v>4</v>
      </c>
      <c r="J281" s="215">
        <f t="shared" si="9"/>
        <v>0</v>
      </c>
    </row>
    <row r="282" spans="1:10">
      <c r="A282" s="176"/>
      <c r="B282" s="178"/>
      <c r="C282" s="178" t="s">
        <v>55</v>
      </c>
      <c r="D282" s="178" t="s">
        <v>56</v>
      </c>
      <c r="E282" s="178" t="s">
        <v>56</v>
      </c>
      <c r="F282" s="178" t="s">
        <v>57</v>
      </c>
      <c r="G282" s="178"/>
      <c r="H282" s="178"/>
      <c r="I282" s="178">
        <v>3</v>
      </c>
      <c r="J282" s="215">
        <f t="shared" si="9"/>
        <v>0</v>
      </c>
    </row>
    <row r="283" ht="14.25" spans="1:10">
      <c r="A283" s="224" t="s">
        <v>323</v>
      </c>
      <c r="B283" s="225"/>
      <c r="C283" s="225"/>
      <c r="D283" s="225"/>
      <c r="E283" s="225"/>
      <c r="F283" s="225"/>
      <c r="G283" s="225"/>
      <c r="H283" s="225"/>
      <c r="I283" s="225"/>
      <c r="J283" s="226">
        <f>SUM(J253:J282)</f>
        <v>0</v>
      </c>
    </row>
    <row r="285" spans="1:10">
      <c r="A285" s="63" t="s">
        <v>17</v>
      </c>
      <c r="B285" s="64" t="s">
        <v>18</v>
      </c>
      <c r="C285" s="64" t="s">
        <v>105</v>
      </c>
      <c r="D285" s="64" t="s">
        <v>45</v>
      </c>
      <c r="E285" s="64" t="s">
        <v>21</v>
      </c>
      <c r="F285" s="206" t="s">
        <v>106</v>
      </c>
      <c r="G285" s="208"/>
      <c r="H285" s="208" t="s">
        <v>23</v>
      </c>
      <c r="I285" s="196" t="s">
        <v>107</v>
      </c>
      <c r="J285" s="50" t="s">
        <v>26</v>
      </c>
    </row>
    <row r="286" ht="14.25" spans="1:10">
      <c r="A286" s="63"/>
      <c r="B286" s="64"/>
      <c r="C286" s="64"/>
      <c r="D286" s="64"/>
      <c r="E286" s="64"/>
      <c r="F286" s="49"/>
      <c r="G286" s="210"/>
      <c r="H286" s="210"/>
      <c r="I286" s="6"/>
      <c r="J286" s="50"/>
    </row>
    <row r="287" spans="1:10">
      <c r="A287" s="171" t="s">
        <v>196</v>
      </c>
      <c r="B287" s="211" t="s">
        <v>324</v>
      </c>
      <c r="C287" s="173" t="s">
        <v>110</v>
      </c>
      <c r="D287" s="173" t="s">
        <v>32</v>
      </c>
      <c r="E287" s="173" t="s">
        <v>115</v>
      </c>
      <c r="F287" s="173" t="s">
        <v>325</v>
      </c>
      <c r="G287" s="173"/>
      <c r="H287" s="173"/>
      <c r="I287" s="201">
        <v>1.3862</v>
      </c>
      <c r="J287" s="214">
        <f t="shared" ref="J287:J314" si="10">H287*I287</f>
        <v>0</v>
      </c>
    </row>
    <row r="288" spans="1:10">
      <c r="A288" s="176"/>
      <c r="B288" s="178"/>
      <c r="C288" s="178" t="s">
        <v>199</v>
      </c>
      <c r="D288" s="178" t="s">
        <v>32</v>
      </c>
      <c r="E288" s="178" t="s">
        <v>115</v>
      </c>
      <c r="F288" s="178" t="s">
        <v>326</v>
      </c>
      <c r="G288" s="178"/>
      <c r="H288" s="178"/>
      <c r="I288" s="203">
        <v>0.1483</v>
      </c>
      <c r="J288" s="215">
        <f t="shared" si="10"/>
        <v>0</v>
      </c>
    </row>
    <row r="289" spans="1:10">
      <c r="A289" s="176"/>
      <c r="B289" s="178"/>
      <c r="C289" s="178" t="s">
        <v>327</v>
      </c>
      <c r="D289" s="178" t="s">
        <v>32</v>
      </c>
      <c r="E289" s="178" t="s">
        <v>115</v>
      </c>
      <c r="F289" s="178" t="s">
        <v>328</v>
      </c>
      <c r="G289" s="178"/>
      <c r="H289" s="178"/>
      <c r="I289" s="203">
        <v>0.0629</v>
      </c>
      <c r="J289" s="215">
        <f t="shared" si="10"/>
        <v>0</v>
      </c>
    </row>
    <row r="290" spans="1:10">
      <c r="A290" s="176"/>
      <c r="B290" s="178"/>
      <c r="C290" s="178" t="s">
        <v>117</v>
      </c>
      <c r="D290" s="178" t="s">
        <v>32</v>
      </c>
      <c r="E290" s="178" t="s">
        <v>115</v>
      </c>
      <c r="F290" s="178" t="s">
        <v>329</v>
      </c>
      <c r="G290" s="178"/>
      <c r="H290" s="178"/>
      <c r="I290" s="203">
        <v>0.7169</v>
      </c>
      <c r="J290" s="215">
        <f t="shared" si="10"/>
        <v>0</v>
      </c>
    </row>
    <row r="291" spans="1:10">
      <c r="A291" s="176"/>
      <c r="B291" s="178"/>
      <c r="C291" s="178" t="s">
        <v>114</v>
      </c>
      <c r="D291" s="178" t="s">
        <v>32</v>
      </c>
      <c r="E291" s="178" t="s">
        <v>115</v>
      </c>
      <c r="F291" s="178" t="s">
        <v>330</v>
      </c>
      <c r="G291" s="178"/>
      <c r="H291" s="178"/>
      <c r="I291" s="203">
        <v>0.5692</v>
      </c>
      <c r="J291" s="215">
        <f t="shared" si="10"/>
        <v>0</v>
      </c>
    </row>
    <row r="292" spans="1:10">
      <c r="A292" s="176"/>
      <c r="B292" s="178"/>
      <c r="C292" s="178" t="s">
        <v>129</v>
      </c>
      <c r="D292" s="178" t="s">
        <v>32</v>
      </c>
      <c r="E292" s="178" t="s">
        <v>115</v>
      </c>
      <c r="F292" s="178" t="s">
        <v>331</v>
      </c>
      <c r="G292" s="178"/>
      <c r="H292" s="178"/>
      <c r="I292" s="203">
        <v>0.9442</v>
      </c>
      <c r="J292" s="215">
        <f t="shared" si="10"/>
        <v>0</v>
      </c>
    </row>
    <row r="293" spans="1:10">
      <c r="A293" s="176"/>
      <c r="B293" s="178"/>
      <c r="C293" s="178" t="s">
        <v>114</v>
      </c>
      <c r="D293" s="178" t="s">
        <v>32</v>
      </c>
      <c r="E293" s="178" t="s">
        <v>115</v>
      </c>
      <c r="F293" s="178" t="s">
        <v>332</v>
      </c>
      <c r="G293" s="178"/>
      <c r="H293" s="178"/>
      <c r="I293" s="203">
        <v>0.9831</v>
      </c>
      <c r="J293" s="215">
        <f t="shared" si="10"/>
        <v>0</v>
      </c>
    </row>
    <row r="294" spans="1:10">
      <c r="A294" s="176"/>
      <c r="B294" s="178"/>
      <c r="C294" s="178" t="s">
        <v>180</v>
      </c>
      <c r="D294" s="178" t="s">
        <v>32</v>
      </c>
      <c r="E294" s="178" t="s">
        <v>115</v>
      </c>
      <c r="F294" s="178" t="s">
        <v>333</v>
      </c>
      <c r="G294" s="178"/>
      <c r="H294" s="178"/>
      <c r="I294" s="203">
        <v>0.0657</v>
      </c>
      <c r="J294" s="215">
        <f t="shared" si="10"/>
        <v>0</v>
      </c>
    </row>
    <row r="295" spans="1:10">
      <c r="A295" s="176"/>
      <c r="B295" s="178"/>
      <c r="C295" s="178" t="s">
        <v>114</v>
      </c>
      <c r="D295" s="178" t="s">
        <v>32</v>
      </c>
      <c r="E295" s="178" t="s">
        <v>115</v>
      </c>
      <c r="F295" s="178" t="s">
        <v>334</v>
      </c>
      <c r="G295" s="178"/>
      <c r="H295" s="178"/>
      <c r="I295" s="203">
        <v>0.349</v>
      </c>
      <c r="J295" s="215">
        <f t="shared" si="10"/>
        <v>0</v>
      </c>
    </row>
    <row r="296" spans="1:10">
      <c r="A296" s="176"/>
      <c r="B296" s="178"/>
      <c r="C296" s="178" t="s">
        <v>221</v>
      </c>
      <c r="D296" s="178" t="s">
        <v>32</v>
      </c>
      <c r="E296" s="178" t="s">
        <v>115</v>
      </c>
      <c r="F296" s="178" t="s">
        <v>335</v>
      </c>
      <c r="G296" s="178"/>
      <c r="H296" s="178"/>
      <c r="I296" s="203">
        <v>1.3305</v>
      </c>
      <c r="J296" s="215">
        <f t="shared" si="10"/>
        <v>0</v>
      </c>
    </row>
    <row r="297" spans="1:10">
      <c r="A297" s="176"/>
      <c r="B297" s="178"/>
      <c r="C297" s="178" t="s">
        <v>114</v>
      </c>
      <c r="D297" s="178" t="s">
        <v>32</v>
      </c>
      <c r="E297" s="178" t="s">
        <v>115</v>
      </c>
      <c r="F297" s="178" t="s">
        <v>336</v>
      </c>
      <c r="G297" s="178"/>
      <c r="H297" s="178"/>
      <c r="I297" s="203">
        <v>0.2788</v>
      </c>
      <c r="J297" s="215">
        <f t="shared" si="10"/>
        <v>0</v>
      </c>
    </row>
    <row r="298" spans="1:10">
      <c r="A298" s="176"/>
      <c r="B298" s="178"/>
      <c r="C298" s="178" t="s">
        <v>129</v>
      </c>
      <c r="D298" s="178" t="s">
        <v>32</v>
      </c>
      <c r="E298" s="178" t="s">
        <v>115</v>
      </c>
      <c r="F298" s="178" t="s">
        <v>337</v>
      </c>
      <c r="G298" s="178"/>
      <c r="H298" s="178"/>
      <c r="I298" s="203">
        <v>0.9131</v>
      </c>
      <c r="J298" s="215">
        <f t="shared" si="10"/>
        <v>0</v>
      </c>
    </row>
    <row r="299" spans="1:10">
      <c r="A299" s="176"/>
      <c r="B299" s="178"/>
      <c r="C299" s="178" t="s">
        <v>114</v>
      </c>
      <c r="D299" s="178" t="s">
        <v>32</v>
      </c>
      <c r="E299" s="178" t="s">
        <v>115</v>
      </c>
      <c r="F299" s="178" t="s">
        <v>338</v>
      </c>
      <c r="G299" s="178"/>
      <c r="H299" s="178"/>
      <c r="I299" s="203">
        <v>0.475</v>
      </c>
      <c r="J299" s="215">
        <f t="shared" si="10"/>
        <v>0</v>
      </c>
    </row>
    <row r="300" spans="1:10">
      <c r="A300" s="176"/>
      <c r="B300" s="178"/>
      <c r="C300" s="178" t="s">
        <v>114</v>
      </c>
      <c r="D300" s="178" t="s">
        <v>32</v>
      </c>
      <c r="E300" s="178" t="s">
        <v>115</v>
      </c>
      <c r="F300" s="178" t="s">
        <v>339</v>
      </c>
      <c r="G300" s="178"/>
      <c r="H300" s="178"/>
      <c r="I300" s="203">
        <v>0.1709</v>
      </c>
      <c r="J300" s="215">
        <f t="shared" si="10"/>
        <v>0</v>
      </c>
    </row>
    <row r="301" spans="1:10">
      <c r="A301" s="176"/>
      <c r="B301" s="178"/>
      <c r="C301" s="178" t="s">
        <v>142</v>
      </c>
      <c r="D301" s="178" t="s">
        <v>32</v>
      </c>
      <c r="E301" s="178" t="s">
        <v>115</v>
      </c>
      <c r="F301" s="178" t="s">
        <v>329</v>
      </c>
      <c r="G301" s="178"/>
      <c r="H301" s="178"/>
      <c r="I301" s="203">
        <v>0.7169</v>
      </c>
      <c r="J301" s="215">
        <f t="shared" si="10"/>
        <v>0</v>
      </c>
    </row>
    <row r="302" spans="1:10">
      <c r="A302" s="176"/>
      <c r="B302" s="178"/>
      <c r="C302" s="178" t="s">
        <v>223</v>
      </c>
      <c r="D302" s="178" t="s">
        <v>32</v>
      </c>
      <c r="E302" s="178" t="s">
        <v>115</v>
      </c>
      <c r="F302" s="178" t="s">
        <v>325</v>
      </c>
      <c r="G302" s="178"/>
      <c r="H302" s="178"/>
      <c r="I302" s="203">
        <v>1.3862</v>
      </c>
      <c r="J302" s="215">
        <f t="shared" si="10"/>
        <v>0</v>
      </c>
    </row>
    <row r="303" spans="1:10">
      <c r="A303" s="176"/>
      <c r="B303" s="178"/>
      <c r="C303" s="178" t="s">
        <v>145</v>
      </c>
      <c r="D303" s="178" t="s">
        <v>32</v>
      </c>
      <c r="E303" s="178" t="s">
        <v>115</v>
      </c>
      <c r="F303" s="178" t="s">
        <v>340</v>
      </c>
      <c r="G303" s="178"/>
      <c r="H303" s="178"/>
      <c r="I303" s="203">
        <v>0.0636</v>
      </c>
      <c r="J303" s="215">
        <f t="shared" si="10"/>
        <v>0</v>
      </c>
    </row>
    <row r="304" spans="1:10">
      <c r="A304" s="176"/>
      <c r="B304" s="178"/>
      <c r="C304" s="178" t="s">
        <v>146</v>
      </c>
      <c r="D304" s="178" t="s">
        <v>32</v>
      </c>
      <c r="E304" s="178" t="s">
        <v>115</v>
      </c>
      <c r="F304" s="178" t="s">
        <v>341</v>
      </c>
      <c r="G304" s="178"/>
      <c r="H304" s="178"/>
      <c r="I304" s="203">
        <v>0.1018</v>
      </c>
      <c r="J304" s="215">
        <f t="shared" si="10"/>
        <v>0</v>
      </c>
    </row>
    <row r="305" spans="1:10">
      <c r="A305" s="176"/>
      <c r="B305" s="178"/>
      <c r="C305" s="178" t="s">
        <v>31</v>
      </c>
      <c r="D305" s="178" t="s">
        <v>32</v>
      </c>
      <c r="E305" s="178" t="s">
        <v>111</v>
      </c>
      <c r="F305" s="178" t="s">
        <v>342</v>
      </c>
      <c r="G305" s="178"/>
      <c r="H305" s="178"/>
      <c r="I305" s="203">
        <v>1.4019</v>
      </c>
      <c r="J305" s="215">
        <f t="shared" si="10"/>
        <v>0</v>
      </c>
    </row>
    <row r="306" spans="1:10">
      <c r="A306" s="176"/>
      <c r="B306" s="178"/>
      <c r="C306" s="178" t="s">
        <v>35</v>
      </c>
      <c r="D306" s="178" t="s">
        <v>32</v>
      </c>
      <c r="E306" s="178" t="s">
        <v>111</v>
      </c>
      <c r="F306" s="178" t="s">
        <v>342</v>
      </c>
      <c r="G306" s="178"/>
      <c r="H306" s="178"/>
      <c r="I306" s="203">
        <v>0.701</v>
      </c>
      <c r="J306" s="215">
        <f t="shared" si="10"/>
        <v>0</v>
      </c>
    </row>
    <row r="307" spans="1:10">
      <c r="A307" s="176"/>
      <c r="B307" s="178"/>
      <c r="C307" s="178" t="s">
        <v>31</v>
      </c>
      <c r="D307" s="178" t="s">
        <v>32</v>
      </c>
      <c r="E307" s="178" t="s">
        <v>111</v>
      </c>
      <c r="F307" s="178" t="s">
        <v>343</v>
      </c>
      <c r="G307" s="178"/>
      <c r="H307" s="178"/>
      <c r="I307" s="203">
        <v>0.6222</v>
      </c>
      <c r="J307" s="215">
        <f t="shared" si="10"/>
        <v>0</v>
      </c>
    </row>
    <row r="308" spans="1:10">
      <c r="A308" s="176"/>
      <c r="B308" s="178"/>
      <c r="C308" s="178" t="s">
        <v>35</v>
      </c>
      <c r="D308" s="178" t="s">
        <v>32</v>
      </c>
      <c r="E308" s="178" t="s">
        <v>111</v>
      </c>
      <c r="F308" s="178" t="s">
        <v>343</v>
      </c>
      <c r="G308" s="178"/>
      <c r="H308" s="178"/>
      <c r="I308" s="203">
        <v>0.3111</v>
      </c>
      <c r="J308" s="215">
        <f t="shared" si="10"/>
        <v>0</v>
      </c>
    </row>
    <row r="309" spans="1:10">
      <c r="A309" s="176"/>
      <c r="B309" s="178"/>
      <c r="C309" s="178" t="s">
        <v>47</v>
      </c>
      <c r="D309" s="178" t="s">
        <v>48</v>
      </c>
      <c r="E309" s="178" t="s">
        <v>48</v>
      </c>
      <c r="F309" s="178" t="s">
        <v>49</v>
      </c>
      <c r="G309" s="178"/>
      <c r="H309" s="178"/>
      <c r="I309" s="178">
        <v>72</v>
      </c>
      <c r="J309" s="215">
        <f t="shared" si="10"/>
        <v>0</v>
      </c>
    </row>
    <row r="310" spans="1:10">
      <c r="A310" s="176"/>
      <c r="B310" s="178"/>
      <c r="C310" s="178" t="s">
        <v>55</v>
      </c>
      <c r="D310" s="178" t="s">
        <v>56</v>
      </c>
      <c r="E310" s="178" t="s">
        <v>56</v>
      </c>
      <c r="F310" s="178" t="s">
        <v>57</v>
      </c>
      <c r="G310" s="178"/>
      <c r="H310" s="178"/>
      <c r="I310" s="178">
        <v>6</v>
      </c>
      <c r="J310" s="215">
        <f t="shared" si="10"/>
        <v>0</v>
      </c>
    </row>
    <row r="311" spans="1:10">
      <c r="A311" s="176"/>
      <c r="B311" s="178"/>
      <c r="C311" s="178" t="s">
        <v>151</v>
      </c>
      <c r="D311" s="178" t="s">
        <v>56</v>
      </c>
      <c r="E311" s="178" t="s">
        <v>56</v>
      </c>
      <c r="F311" s="178" t="s">
        <v>152</v>
      </c>
      <c r="G311" s="178"/>
      <c r="H311" s="178"/>
      <c r="I311" s="178">
        <v>6</v>
      </c>
      <c r="J311" s="215">
        <f t="shared" si="10"/>
        <v>0</v>
      </c>
    </row>
    <row r="312" spans="1:10">
      <c r="A312" s="176"/>
      <c r="B312" s="178"/>
      <c r="C312" s="178" t="s">
        <v>55</v>
      </c>
      <c r="D312" s="178" t="s">
        <v>56</v>
      </c>
      <c r="E312" s="178" t="s">
        <v>56</v>
      </c>
      <c r="F312" s="178" t="s">
        <v>62</v>
      </c>
      <c r="G312" s="178"/>
      <c r="H312" s="178"/>
      <c r="I312" s="178">
        <v>12</v>
      </c>
      <c r="J312" s="215">
        <f t="shared" si="10"/>
        <v>0</v>
      </c>
    </row>
    <row r="313" spans="1:10">
      <c r="A313" s="176"/>
      <c r="B313" s="178"/>
      <c r="C313" s="178" t="s">
        <v>69</v>
      </c>
      <c r="D313" s="178" t="s">
        <v>70</v>
      </c>
      <c r="E313" s="178" t="s">
        <v>70</v>
      </c>
      <c r="F313" s="178" t="s">
        <v>71</v>
      </c>
      <c r="G313" s="178"/>
      <c r="H313" s="178"/>
      <c r="I313" s="178">
        <v>1</v>
      </c>
      <c r="J313" s="215">
        <f t="shared" si="10"/>
        <v>0</v>
      </c>
    </row>
    <row r="314" spans="1:10">
      <c r="A314" s="176"/>
      <c r="B314" s="178"/>
      <c r="C314" s="178" t="s">
        <v>72</v>
      </c>
      <c r="D314" s="178" t="s">
        <v>73</v>
      </c>
      <c r="E314" s="178" t="s">
        <v>73</v>
      </c>
      <c r="F314" s="178" t="s">
        <v>74</v>
      </c>
      <c r="G314" s="178"/>
      <c r="H314" s="178"/>
      <c r="I314" s="178">
        <v>2</v>
      </c>
      <c r="J314" s="215">
        <f t="shared" si="10"/>
        <v>0</v>
      </c>
    </row>
    <row r="315" ht="14.25" spans="1:10">
      <c r="A315" s="224" t="s">
        <v>344</v>
      </c>
      <c r="B315" s="225"/>
      <c r="C315" s="225"/>
      <c r="D315" s="225"/>
      <c r="E315" s="225"/>
      <c r="F315" s="225"/>
      <c r="G315" s="225"/>
      <c r="H315" s="225"/>
      <c r="I315" s="225"/>
      <c r="J315" s="226">
        <f>SUM(J287:J314)</f>
        <v>0</v>
      </c>
    </row>
    <row r="317" spans="1:10">
      <c r="A317" s="63" t="s">
        <v>17</v>
      </c>
      <c r="B317" s="64" t="s">
        <v>18</v>
      </c>
      <c r="C317" s="64" t="s">
        <v>105</v>
      </c>
      <c r="D317" s="64" t="s">
        <v>45</v>
      </c>
      <c r="E317" s="64" t="s">
        <v>21</v>
      </c>
      <c r="F317" s="206" t="s">
        <v>106</v>
      </c>
      <c r="G317" s="208"/>
      <c r="H317" s="208" t="s">
        <v>23</v>
      </c>
      <c r="I317" s="196" t="s">
        <v>107</v>
      </c>
      <c r="J317" s="50" t="s">
        <v>26</v>
      </c>
    </row>
    <row r="318" ht="14.25" spans="1:10">
      <c r="A318" s="63"/>
      <c r="B318" s="64"/>
      <c r="C318" s="64"/>
      <c r="D318" s="64"/>
      <c r="E318" s="64"/>
      <c r="F318" s="49"/>
      <c r="G318" s="210"/>
      <c r="H318" s="210"/>
      <c r="I318" s="6"/>
      <c r="J318" s="50"/>
    </row>
    <row r="319" spans="1:10">
      <c r="A319" s="171" t="s">
        <v>211</v>
      </c>
      <c r="B319" s="211" t="s">
        <v>345</v>
      </c>
      <c r="C319" s="173" t="s">
        <v>110</v>
      </c>
      <c r="D319" s="173" t="s">
        <v>32</v>
      </c>
      <c r="E319" s="173" t="s">
        <v>115</v>
      </c>
      <c r="F319" s="173" t="s">
        <v>325</v>
      </c>
      <c r="G319" s="173"/>
      <c r="H319" s="173"/>
      <c r="I319" s="201">
        <v>1.3862</v>
      </c>
      <c r="J319" s="214">
        <f t="shared" ref="J319:J342" si="11">H319*I319</f>
        <v>0</v>
      </c>
    </row>
    <row r="320" spans="1:10">
      <c r="A320" s="176"/>
      <c r="B320" s="178"/>
      <c r="C320" s="178" t="s">
        <v>199</v>
      </c>
      <c r="D320" s="178" t="s">
        <v>32</v>
      </c>
      <c r="E320" s="178" t="s">
        <v>115</v>
      </c>
      <c r="F320" s="178" t="s">
        <v>346</v>
      </c>
      <c r="G320" s="178"/>
      <c r="H320" s="178"/>
      <c r="I320" s="203">
        <v>0.1186</v>
      </c>
      <c r="J320" s="215">
        <f t="shared" si="11"/>
        <v>0</v>
      </c>
    </row>
    <row r="321" spans="1:10">
      <c r="A321" s="176"/>
      <c r="B321" s="178"/>
      <c r="C321" s="178" t="s">
        <v>327</v>
      </c>
      <c r="D321" s="178" t="s">
        <v>32</v>
      </c>
      <c r="E321" s="178" t="s">
        <v>115</v>
      </c>
      <c r="F321" s="178" t="s">
        <v>328</v>
      </c>
      <c r="G321" s="178"/>
      <c r="H321" s="178"/>
      <c r="I321" s="203">
        <v>0.0314</v>
      </c>
      <c r="J321" s="215">
        <f t="shared" si="11"/>
        <v>0</v>
      </c>
    </row>
    <row r="322" spans="1:10">
      <c r="A322" s="176"/>
      <c r="B322" s="178"/>
      <c r="C322" s="178" t="s">
        <v>117</v>
      </c>
      <c r="D322" s="178" t="s">
        <v>32</v>
      </c>
      <c r="E322" s="178" t="s">
        <v>115</v>
      </c>
      <c r="F322" s="178" t="s">
        <v>347</v>
      </c>
      <c r="G322" s="178"/>
      <c r="H322" s="178"/>
      <c r="I322" s="203">
        <v>0.573</v>
      </c>
      <c r="J322" s="215">
        <f t="shared" si="11"/>
        <v>0</v>
      </c>
    </row>
    <row r="323" spans="1:10">
      <c r="A323" s="176"/>
      <c r="B323" s="178"/>
      <c r="C323" s="178" t="s">
        <v>221</v>
      </c>
      <c r="D323" s="178" t="s">
        <v>32</v>
      </c>
      <c r="E323" s="178" t="s">
        <v>115</v>
      </c>
      <c r="F323" s="178" t="s">
        <v>348</v>
      </c>
      <c r="G323" s="178"/>
      <c r="H323" s="178"/>
      <c r="I323" s="203">
        <v>0.1835</v>
      </c>
      <c r="J323" s="215">
        <f t="shared" si="11"/>
        <v>0</v>
      </c>
    </row>
    <row r="324" spans="1:10">
      <c r="A324" s="176"/>
      <c r="B324" s="178"/>
      <c r="C324" s="178" t="s">
        <v>131</v>
      </c>
      <c r="D324" s="178" t="s">
        <v>32</v>
      </c>
      <c r="E324" s="178" t="s">
        <v>111</v>
      </c>
      <c r="F324" s="178" t="s">
        <v>349</v>
      </c>
      <c r="G324" s="178"/>
      <c r="H324" s="178"/>
      <c r="I324" s="203">
        <v>0.0762</v>
      </c>
      <c r="J324" s="215">
        <f t="shared" si="11"/>
        <v>0</v>
      </c>
    </row>
    <row r="325" spans="1:10">
      <c r="A325" s="176"/>
      <c r="B325" s="178"/>
      <c r="C325" s="178" t="s">
        <v>114</v>
      </c>
      <c r="D325" s="178" t="s">
        <v>32</v>
      </c>
      <c r="E325" s="178" t="s">
        <v>115</v>
      </c>
      <c r="F325" s="178" t="s">
        <v>350</v>
      </c>
      <c r="G325" s="178"/>
      <c r="H325" s="178"/>
      <c r="I325" s="203">
        <v>0.9301</v>
      </c>
      <c r="J325" s="215">
        <f t="shared" si="11"/>
        <v>0</v>
      </c>
    </row>
    <row r="326" spans="1:10">
      <c r="A326" s="176"/>
      <c r="B326" s="178"/>
      <c r="C326" s="178" t="s">
        <v>180</v>
      </c>
      <c r="D326" s="178" t="s">
        <v>32</v>
      </c>
      <c r="E326" s="178" t="s">
        <v>115</v>
      </c>
      <c r="F326" s="178" t="s">
        <v>351</v>
      </c>
      <c r="G326" s="178"/>
      <c r="H326" s="178"/>
      <c r="I326" s="203">
        <v>0.1581</v>
      </c>
      <c r="J326" s="215">
        <f t="shared" si="11"/>
        <v>0</v>
      </c>
    </row>
    <row r="327" spans="1:10">
      <c r="A327" s="176"/>
      <c r="B327" s="178"/>
      <c r="C327" s="178" t="s">
        <v>129</v>
      </c>
      <c r="D327" s="178" t="s">
        <v>32</v>
      </c>
      <c r="E327" s="178" t="s">
        <v>115</v>
      </c>
      <c r="F327" s="178" t="s">
        <v>352</v>
      </c>
      <c r="G327" s="178"/>
      <c r="H327" s="178"/>
      <c r="I327" s="203">
        <v>1.1066</v>
      </c>
      <c r="J327" s="215">
        <f t="shared" si="11"/>
        <v>0</v>
      </c>
    </row>
    <row r="328" spans="1:10">
      <c r="A328" s="176"/>
      <c r="B328" s="178"/>
      <c r="C328" s="178" t="s">
        <v>131</v>
      </c>
      <c r="D328" s="178" t="s">
        <v>32</v>
      </c>
      <c r="E328" s="178" t="s">
        <v>115</v>
      </c>
      <c r="F328" s="178" t="s">
        <v>353</v>
      </c>
      <c r="G328" s="178"/>
      <c r="H328" s="178"/>
      <c r="I328" s="203">
        <v>1.3351</v>
      </c>
      <c r="J328" s="215">
        <f t="shared" si="11"/>
        <v>0</v>
      </c>
    </row>
    <row r="329" spans="1:10">
      <c r="A329" s="176"/>
      <c r="B329" s="178"/>
      <c r="C329" s="178" t="s">
        <v>114</v>
      </c>
      <c r="D329" s="178" t="s">
        <v>32</v>
      </c>
      <c r="E329" s="178" t="s">
        <v>115</v>
      </c>
      <c r="F329" s="178" t="s">
        <v>354</v>
      </c>
      <c r="G329" s="178"/>
      <c r="H329" s="178"/>
      <c r="I329" s="203">
        <v>0.9341</v>
      </c>
      <c r="J329" s="215">
        <f t="shared" si="11"/>
        <v>0</v>
      </c>
    </row>
    <row r="330" spans="1:10">
      <c r="A330" s="176"/>
      <c r="B330" s="178"/>
      <c r="C330" s="178" t="s">
        <v>131</v>
      </c>
      <c r="D330" s="178" t="s">
        <v>32</v>
      </c>
      <c r="E330" s="178" t="s">
        <v>111</v>
      </c>
      <c r="F330" s="178" t="s">
        <v>355</v>
      </c>
      <c r="G330" s="178"/>
      <c r="H330" s="178"/>
      <c r="I330" s="203">
        <v>0.1678</v>
      </c>
      <c r="J330" s="215">
        <f t="shared" si="11"/>
        <v>0</v>
      </c>
    </row>
    <row r="331" spans="1:10">
      <c r="A331" s="176"/>
      <c r="B331" s="178"/>
      <c r="C331" s="178" t="s">
        <v>114</v>
      </c>
      <c r="D331" s="178" t="s">
        <v>32</v>
      </c>
      <c r="E331" s="178" t="s">
        <v>115</v>
      </c>
      <c r="F331" s="178" t="s">
        <v>356</v>
      </c>
      <c r="G331" s="178"/>
      <c r="H331" s="178"/>
      <c r="I331" s="203">
        <v>0.4192</v>
      </c>
      <c r="J331" s="215">
        <f t="shared" si="11"/>
        <v>0</v>
      </c>
    </row>
    <row r="332" spans="1:10">
      <c r="A332" s="176"/>
      <c r="B332" s="178"/>
      <c r="C332" s="178" t="s">
        <v>142</v>
      </c>
      <c r="D332" s="178" t="s">
        <v>32</v>
      </c>
      <c r="E332" s="178" t="s">
        <v>115</v>
      </c>
      <c r="F332" s="178" t="s">
        <v>347</v>
      </c>
      <c r="G332" s="178"/>
      <c r="H332" s="178"/>
      <c r="I332" s="203">
        <v>0.573</v>
      </c>
      <c r="J332" s="215">
        <f t="shared" si="11"/>
        <v>0</v>
      </c>
    </row>
    <row r="333" spans="1:10">
      <c r="A333" s="176"/>
      <c r="B333" s="178"/>
      <c r="C333" s="178" t="s">
        <v>223</v>
      </c>
      <c r="D333" s="178" t="s">
        <v>32</v>
      </c>
      <c r="E333" s="178" t="s">
        <v>115</v>
      </c>
      <c r="F333" s="178" t="s">
        <v>325</v>
      </c>
      <c r="G333" s="178"/>
      <c r="H333" s="178"/>
      <c r="I333" s="203">
        <v>1.3862</v>
      </c>
      <c r="J333" s="215">
        <f t="shared" si="11"/>
        <v>0</v>
      </c>
    </row>
    <row r="334" spans="1:10">
      <c r="A334" s="176"/>
      <c r="B334" s="178"/>
      <c r="C334" s="178" t="s">
        <v>145</v>
      </c>
      <c r="D334" s="178" t="s">
        <v>32</v>
      </c>
      <c r="E334" s="178" t="s">
        <v>115</v>
      </c>
      <c r="F334" s="178" t="s">
        <v>357</v>
      </c>
      <c r="G334" s="178"/>
      <c r="H334" s="178"/>
      <c r="I334" s="203">
        <v>0.0512</v>
      </c>
      <c r="J334" s="215">
        <f t="shared" si="11"/>
        <v>0</v>
      </c>
    </row>
    <row r="335" spans="1:10">
      <c r="A335" s="176"/>
      <c r="B335" s="178"/>
      <c r="C335" s="178" t="s">
        <v>146</v>
      </c>
      <c r="D335" s="178" t="s">
        <v>32</v>
      </c>
      <c r="E335" s="178" t="s">
        <v>115</v>
      </c>
      <c r="F335" s="178" t="s">
        <v>358</v>
      </c>
      <c r="G335" s="178"/>
      <c r="H335" s="178"/>
      <c r="I335" s="203">
        <v>0.0819</v>
      </c>
      <c r="J335" s="215">
        <f t="shared" si="11"/>
        <v>0</v>
      </c>
    </row>
    <row r="336" spans="1:10">
      <c r="A336" s="176"/>
      <c r="B336" s="178"/>
      <c r="C336" s="178" t="s">
        <v>35</v>
      </c>
      <c r="D336" s="178" t="s">
        <v>32</v>
      </c>
      <c r="E336" s="178" t="s">
        <v>111</v>
      </c>
      <c r="F336" s="178" t="s">
        <v>342</v>
      </c>
      <c r="G336" s="178"/>
      <c r="H336" s="178"/>
      <c r="I336" s="203">
        <v>0.701</v>
      </c>
      <c r="J336" s="215">
        <f t="shared" si="11"/>
        <v>0</v>
      </c>
    </row>
    <row r="337" spans="1:10">
      <c r="A337" s="176"/>
      <c r="B337" s="178"/>
      <c r="C337" s="178" t="s">
        <v>35</v>
      </c>
      <c r="D337" s="178" t="s">
        <v>32</v>
      </c>
      <c r="E337" s="178" t="s">
        <v>111</v>
      </c>
      <c r="F337" s="178" t="s">
        <v>343</v>
      </c>
      <c r="G337" s="178"/>
      <c r="H337" s="178"/>
      <c r="I337" s="203">
        <v>0.3111</v>
      </c>
      <c r="J337" s="215">
        <f t="shared" si="11"/>
        <v>0</v>
      </c>
    </row>
    <row r="338" spans="1:10">
      <c r="A338" s="176"/>
      <c r="B338" s="178"/>
      <c r="C338" s="178" t="s">
        <v>47</v>
      </c>
      <c r="D338" s="178" t="s">
        <v>48</v>
      </c>
      <c r="E338" s="178" t="s">
        <v>48</v>
      </c>
      <c r="F338" s="178" t="s">
        <v>49</v>
      </c>
      <c r="G338" s="178"/>
      <c r="H338" s="178"/>
      <c r="I338" s="178">
        <v>66</v>
      </c>
      <c r="J338" s="215">
        <f t="shared" si="11"/>
        <v>0</v>
      </c>
    </row>
    <row r="339" spans="1:10">
      <c r="A339" s="176"/>
      <c r="B339" s="178"/>
      <c r="C339" s="178" t="s">
        <v>55</v>
      </c>
      <c r="D339" s="178" t="s">
        <v>56</v>
      </c>
      <c r="E339" s="178" t="s">
        <v>56</v>
      </c>
      <c r="F339" s="178" t="s">
        <v>57</v>
      </c>
      <c r="G339" s="178"/>
      <c r="H339" s="178"/>
      <c r="I339" s="178">
        <v>6</v>
      </c>
      <c r="J339" s="215">
        <f t="shared" si="11"/>
        <v>0</v>
      </c>
    </row>
    <row r="340" spans="1:10">
      <c r="A340" s="176"/>
      <c r="B340" s="178"/>
      <c r="C340" s="178" t="s">
        <v>151</v>
      </c>
      <c r="D340" s="178" t="s">
        <v>56</v>
      </c>
      <c r="E340" s="178" t="s">
        <v>56</v>
      </c>
      <c r="F340" s="178" t="s">
        <v>152</v>
      </c>
      <c r="G340" s="178"/>
      <c r="H340" s="178"/>
      <c r="I340" s="178">
        <v>2</v>
      </c>
      <c r="J340" s="215">
        <f t="shared" si="11"/>
        <v>0</v>
      </c>
    </row>
    <row r="341" spans="1:10">
      <c r="A341" s="176"/>
      <c r="B341" s="178"/>
      <c r="C341" s="178" t="s">
        <v>69</v>
      </c>
      <c r="D341" s="178" t="s">
        <v>70</v>
      </c>
      <c r="E341" s="178" t="s">
        <v>70</v>
      </c>
      <c r="F341" s="178" t="s">
        <v>75</v>
      </c>
      <c r="G341" s="178"/>
      <c r="H341" s="178"/>
      <c r="I341" s="178">
        <v>2</v>
      </c>
      <c r="J341" s="215">
        <f t="shared" si="11"/>
        <v>0</v>
      </c>
    </row>
    <row r="342" spans="1:10">
      <c r="A342" s="176"/>
      <c r="B342" s="178"/>
      <c r="C342" s="178" t="s">
        <v>72</v>
      </c>
      <c r="D342" s="178" t="s">
        <v>73</v>
      </c>
      <c r="E342" s="178" t="s">
        <v>73</v>
      </c>
      <c r="F342" s="178" t="s">
        <v>74</v>
      </c>
      <c r="G342" s="178"/>
      <c r="H342" s="178"/>
      <c r="I342" s="178">
        <v>4</v>
      </c>
      <c r="J342" s="215">
        <f t="shared" si="11"/>
        <v>0</v>
      </c>
    </row>
    <row r="343" ht="14.25" spans="1:10">
      <c r="A343" s="224" t="s">
        <v>359</v>
      </c>
      <c r="B343" s="225"/>
      <c r="C343" s="225"/>
      <c r="D343" s="225"/>
      <c r="E343" s="225"/>
      <c r="F343" s="225"/>
      <c r="G343" s="225"/>
      <c r="H343" s="225"/>
      <c r="I343" s="225"/>
      <c r="J343" s="226">
        <f>SUM(J319:J342)</f>
        <v>0</v>
      </c>
    </row>
    <row r="345" spans="1:10">
      <c r="A345" s="63" t="s">
        <v>17</v>
      </c>
      <c r="B345" s="64" t="s">
        <v>18</v>
      </c>
      <c r="C345" s="64" t="s">
        <v>105</v>
      </c>
      <c r="D345" s="64" t="s">
        <v>45</v>
      </c>
      <c r="E345" s="64" t="s">
        <v>21</v>
      </c>
      <c r="F345" s="206" t="s">
        <v>106</v>
      </c>
      <c r="G345" s="208"/>
      <c r="H345" s="208" t="s">
        <v>23</v>
      </c>
      <c r="I345" s="196" t="s">
        <v>107</v>
      </c>
      <c r="J345" s="50" t="s">
        <v>26</v>
      </c>
    </row>
    <row r="346" ht="14.25" spans="1:10">
      <c r="A346" s="63"/>
      <c r="B346" s="64"/>
      <c r="C346" s="64"/>
      <c r="D346" s="64"/>
      <c r="E346" s="64"/>
      <c r="F346" s="49"/>
      <c r="G346" s="210"/>
      <c r="H346" s="210"/>
      <c r="I346" s="6"/>
      <c r="J346" s="50"/>
    </row>
    <row r="347" spans="1:10">
      <c r="A347" s="171" t="s">
        <v>226</v>
      </c>
      <c r="B347" s="211" t="s">
        <v>360</v>
      </c>
      <c r="C347" s="173" t="s">
        <v>361</v>
      </c>
      <c r="D347" s="173" t="s">
        <v>32</v>
      </c>
      <c r="E347" s="173" t="s">
        <v>111</v>
      </c>
      <c r="F347" s="173" t="s">
        <v>362</v>
      </c>
      <c r="G347" s="173"/>
      <c r="H347" s="173"/>
      <c r="I347" s="201">
        <v>0.0348</v>
      </c>
      <c r="J347" s="214">
        <f>H347*I347</f>
        <v>0</v>
      </c>
    </row>
    <row r="348" spans="1:10">
      <c r="A348" s="176"/>
      <c r="B348" s="178"/>
      <c r="C348" s="178" t="s">
        <v>361</v>
      </c>
      <c r="D348" s="178" t="s">
        <v>32</v>
      </c>
      <c r="E348" s="178" t="s">
        <v>115</v>
      </c>
      <c r="F348" s="178" t="s">
        <v>363</v>
      </c>
      <c r="G348" s="178"/>
      <c r="H348" s="178"/>
      <c r="I348" s="203">
        <v>0.48</v>
      </c>
      <c r="J348" s="215">
        <f>H348*I348</f>
        <v>0</v>
      </c>
    </row>
    <row r="349" spans="1:10">
      <c r="A349" s="176"/>
      <c r="B349" s="178"/>
      <c r="C349" s="178" t="s">
        <v>361</v>
      </c>
      <c r="D349" s="178" t="s">
        <v>32</v>
      </c>
      <c r="E349" s="178" t="s">
        <v>111</v>
      </c>
      <c r="F349" s="178" t="s">
        <v>363</v>
      </c>
      <c r="G349" s="178"/>
      <c r="H349" s="178"/>
      <c r="I349" s="203">
        <v>0.24</v>
      </c>
      <c r="J349" s="215">
        <f>H349*I349</f>
        <v>0</v>
      </c>
    </row>
    <row r="350" ht="14.25" spans="1:10">
      <c r="A350" s="224" t="s">
        <v>364</v>
      </c>
      <c r="B350" s="225"/>
      <c r="C350" s="225"/>
      <c r="D350" s="225"/>
      <c r="E350" s="225"/>
      <c r="F350" s="225"/>
      <c r="G350" s="225"/>
      <c r="H350" s="225"/>
      <c r="I350" s="225"/>
      <c r="J350" s="226">
        <f>SUM(J347:J349)</f>
        <v>0</v>
      </c>
    </row>
    <row r="352" spans="1:10">
      <c r="A352" s="63" t="s">
        <v>17</v>
      </c>
      <c r="B352" s="64" t="s">
        <v>18</v>
      </c>
      <c r="C352" s="64" t="s">
        <v>105</v>
      </c>
      <c r="D352" s="64" t="s">
        <v>45</v>
      </c>
      <c r="E352" s="64" t="s">
        <v>21</v>
      </c>
      <c r="F352" s="206" t="s">
        <v>106</v>
      </c>
      <c r="G352" s="208"/>
      <c r="H352" s="208" t="s">
        <v>23</v>
      </c>
      <c r="I352" s="196" t="s">
        <v>107</v>
      </c>
      <c r="J352" s="50" t="s">
        <v>26</v>
      </c>
    </row>
    <row r="353" ht="14.25" spans="1:10">
      <c r="A353" s="63"/>
      <c r="B353" s="64"/>
      <c r="C353" s="64"/>
      <c r="D353" s="64"/>
      <c r="E353" s="64"/>
      <c r="F353" s="49"/>
      <c r="G353" s="210"/>
      <c r="H353" s="210"/>
      <c r="I353" s="6"/>
      <c r="J353" s="50"/>
    </row>
    <row r="354" spans="1:10">
      <c r="A354" s="171" t="s">
        <v>108</v>
      </c>
      <c r="B354" s="211" t="s">
        <v>365</v>
      </c>
      <c r="C354" s="173" t="s">
        <v>131</v>
      </c>
      <c r="D354" s="173" t="s">
        <v>32</v>
      </c>
      <c r="E354" s="173" t="s">
        <v>111</v>
      </c>
      <c r="F354" s="173" t="s">
        <v>366</v>
      </c>
      <c r="G354" s="173"/>
      <c r="H354" s="173"/>
      <c r="I354" s="201">
        <v>0.122</v>
      </c>
      <c r="J354" s="214">
        <f t="shared" ref="J354:J393" si="12">H354*I354</f>
        <v>0</v>
      </c>
    </row>
    <row r="355" spans="1:10">
      <c r="A355" s="176"/>
      <c r="B355" s="178"/>
      <c r="C355" s="178" t="s">
        <v>110</v>
      </c>
      <c r="D355" s="178" t="s">
        <v>32</v>
      </c>
      <c r="E355" s="178" t="s">
        <v>115</v>
      </c>
      <c r="F355" s="178" t="s">
        <v>325</v>
      </c>
      <c r="G355" s="178"/>
      <c r="H355" s="178"/>
      <c r="I355" s="203">
        <v>1.3862</v>
      </c>
      <c r="J355" s="215">
        <f t="shared" si="12"/>
        <v>0</v>
      </c>
    </row>
    <row r="356" spans="1:10">
      <c r="A356" s="176"/>
      <c r="B356" s="178"/>
      <c r="C356" s="178" t="s">
        <v>199</v>
      </c>
      <c r="D356" s="178" t="s">
        <v>32</v>
      </c>
      <c r="E356" s="178" t="s">
        <v>115</v>
      </c>
      <c r="F356" s="178" t="s">
        <v>367</v>
      </c>
      <c r="G356" s="178"/>
      <c r="H356" s="178"/>
      <c r="I356" s="203">
        <v>0.1727</v>
      </c>
      <c r="J356" s="215">
        <f t="shared" si="12"/>
        <v>0</v>
      </c>
    </row>
    <row r="357" spans="1:10">
      <c r="A357" s="176"/>
      <c r="B357" s="178"/>
      <c r="C357" s="178" t="s">
        <v>327</v>
      </c>
      <c r="D357" s="178" t="s">
        <v>32</v>
      </c>
      <c r="E357" s="178" t="s">
        <v>115</v>
      </c>
      <c r="F357" s="178" t="s">
        <v>328</v>
      </c>
      <c r="G357" s="178"/>
      <c r="H357" s="178"/>
      <c r="I357" s="203">
        <v>0.0629</v>
      </c>
      <c r="J357" s="215">
        <f t="shared" si="12"/>
        <v>0</v>
      </c>
    </row>
    <row r="358" spans="1:10">
      <c r="A358" s="176"/>
      <c r="B358" s="178"/>
      <c r="C358" s="178" t="s">
        <v>117</v>
      </c>
      <c r="D358" s="178" t="s">
        <v>32</v>
      </c>
      <c r="E358" s="178" t="s">
        <v>115</v>
      </c>
      <c r="F358" s="178" t="s">
        <v>368</v>
      </c>
      <c r="G358" s="178"/>
      <c r="H358" s="178"/>
      <c r="I358" s="203">
        <v>0.8346</v>
      </c>
      <c r="J358" s="215">
        <f t="shared" si="12"/>
        <v>0</v>
      </c>
    </row>
    <row r="359" spans="1:10">
      <c r="A359" s="176"/>
      <c r="B359" s="178"/>
      <c r="C359" s="178" t="s">
        <v>114</v>
      </c>
      <c r="D359" s="178" t="s">
        <v>32</v>
      </c>
      <c r="E359" s="178" t="s">
        <v>115</v>
      </c>
      <c r="F359" s="178" t="s">
        <v>369</v>
      </c>
      <c r="G359" s="178"/>
      <c r="H359" s="178"/>
      <c r="I359" s="203">
        <v>0.3137</v>
      </c>
      <c r="J359" s="215">
        <f t="shared" si="12"/>
        <v>0</v>
      </c>
    </row>
    <row r="360" spans="1:10">
      <c r="A360" s="176"/>
      <c r="B360" s="178"/>
      <c r="C360" s="178" t="s">
        <v>129</v>
      </c>
      <c r="D360" s="178" t="s">
        <v>32</v>
      </c>
      <c r="E360" s="178" t="s">
        <v>115</v>
      </c>
      <c r="F360" s="178" t="s">
        <v>370</v>
      </c>
      <c r="G360" s="178"/>
      <c r="H360" s="178"/>
      <c r="I360" s="203">
        <v>0.2598</v>
      </c>
      <c r="J360" s="215">
        <f t="shared" si="12"/>
        <v>0</v>
      </c>
    </row>
    <row r="361" spans="1:10">
      <c r="A361" s="176"/>
      <c r="B361" s="178"/>
      <c r="C361" s="178" t="s">
        <v>114</v>
      </c>
      <c r="D361" s="178" t="s">
        <v>32</v>
      </c>
      <c r="E361" s="178" t="s">
        <v>115</v>
      </c>
      <c r="F361" s="178" t="s">
        <v>371</v>
      </c>
      <c r="G361" s="178"/>
      <c r="H361" s="178"/>
      <c r="I361" s="203">
        <v>0.5345</v>
      </c>
      <c r="J361" s="215">
        <f t="shared" si="12"/>
        <v>0</v>
      </c>
    </row>
    <row r="362" spans="1:10">
      <c r="A362" s="176"/>
      <c r="B362" s="178"/>
      <c r="C362" s="178" t="s">
        <v>129</v>
      </c>
      <c r="D362" s="178" t="s">
        <v>32</v>
      </c>
      <c r="E362" s="178" t="s">
        <v>115</v>
      </c>
      <c r="F362" s="178" t="s">
        <v>372</v>
      </c>
      <c r="G362" s="178"/>
      <c r="H362" s="178"/>
      <c r="I362" s="203">
        <v>0.7728</v>
      </c>
      <c r="J362" s="215">
        <f t="shared" si="12"/>
        <v>0</v>
      </c>
    </row>
    <row r="363" spans="1:10">
      <c r="A363" s="176"/>
      <c r="B363" s="178"/>
      <c r="C363" s="178" t="s">
        <v>114</v>
      </c>
      <c r="D363" s="178" t="s">
        <v>32</v>
      </c>
      <c r="E363" s="178" t="s">
        <v>115</v>
      </c>
      <c r="F363" s="178" t="s">
        <v>373</v>
      </c>
      <c r="G363" s="178"/>
      <c r="H363" s="178"/>
      <c r="I363" s="203">
        <v>0.1924</v>
      </c>
      <c r="J363" s="215">
        <f t="shared" si="12"/>
        <v>0</v>
      </c>
    </row>
    <row r="364" spans="1:10">
      <c r="A364" s="176"/>
      <c r="B364" s="178"/>
      <c r="C364" s="178" t="s">
        <v>221</v>
      </c>
      <c r="D364" s="178" t="s">
        <v>32</v>
      </c>
      <c r="E364" s="178" t="s">
        <v>115</v>
      </c>
      <c r="F364" s="178" t="s">
        <v>335</v>
      </c>
      <c r="G364" s="178"/>
      <c r="H364" s="178"/>
      <c r="I364" s="203">
        <v>1.3305</v>
      </c>
      <c r="J364" s="215">
        <f t="shared" si="12"/>
        <v>0</v>
      </c>
    </row>
    <row r="365" spans="1:10">
      <c r="A365" s="176"/>
      <c r="B365" s="178"/>
      <c r="C365" s="178" t="s">
        <v>110</v>
      </c>
      <c r="D365" s="178" t="s">
        <v>32</v>
      </c>
      <c r="E365" s="178" t="s">
        <v>115</v>
      </c>
      <c r="F365" s="178" t="s">
        <v>374</v>
      </c>
      <c r="G365" s="178"/>
      <c r="H365" s="178"/>
      <c r="I365" s="203">
        <v>0.4004</v>
      </c>
      <c r="J365" s="215">
        <f t="shared" si="12"/>
        <v>0</v>
      </c>
    </row>
    <row r="366" spans="1:10">
      <c r="A366" s="176"/>
      <c r="B366" s="178"/>
      <c r="C366" s="178" t="s">
        <v>375</v>
      </c>
      <c r="D366" s="178" t="s">
        <v>32</v>
      </c>
      <c r="E366" s="178" t="s">
        <v>115</v>
      </c>
      <c r="F366" s="178" t="s">
        <v>376</v>
      </c>
      <c r="G366" s="178"/>
      <c r="H366" s="178"/>
      <c r="I366" s="203">
        <v>0.3557</v>
      </c>
      <c r="J366" s="215">
        <f t="shared" si="12"/>
        <v>0</v>
      </c>
    </row>
    <row r="367" spans="1:10">
      <c r="A367" s="176"/>
      <c r="B367" s="178"/>
      <c r="C367" s="178" t="s">
        <v>123</v>
      </c>
      <c r="D367" s="178" t="s">
        <v>32</v>
      </c>
      <c r="E367" s="178" t="s">
        <v>115</v>
      </c>
      <c r="F367" s="178" t="s">
        <v>377</v>
      </c>
      <c r="G367" s="178"/>
      <c r="H367" s="178"/>
      <c r="I367" s="203">
        <v>0.2685</v>
      </c>
      <c r="J367" s="215">
        <f t="shared" si="12"/>
        <v>0</v>
      </c>
    </row>
    <row r="368" spans="1:10">
      <c r="A368" s="176"/>
      <c r="B368" s="178"/>
      <c r="C368" s="178" t="s">
        <v>124</v>
      </c>
      <c r="D368" s="178" t="s">
        <v>32</v>
      </c>
      <c r="E368" s="178" t="s">
        <v>115</v>
      </c>
      <c r="F368" s="178" t="s">
        <v>378</v>
      </c>
      <c r="G368" s="178"/>
      <c r="H368" s="178"/>
      <c r="I368" s="203">
        <v>0.144</v>
      </c>
      <c r="J368" s="215">
        <f t="shared" si="12"/>
        <v>0</v>
      </c>
    </row>
    <row r="369" spans="1:10">
      <c r="A369" s="176"/>
      <c r="B369" s="178"/>
      <c r="C369" s="178" t="s">
        <v>126</v>
      </c>
      <c r="D369" s="178" t="s">
        <v>32</v>
      </c>
      <c r="E369" s="178" t="s">
        <v>115</v>
      </c>
      <c r="F369" s="178" t="s">
        <v>378</v>
      </c>
      <c r="G369" s="178"/>
      <c r="H369" s="178"/>
      <c r="I369" s="203">
        <v>0.144</v>
      </c>
      <c r="J369" s="215">
        <f t="shared" si="12"/>
        <v>0</v>
      </c>
    </row>
    <row r="370" spans="1:10">
      <c r="A370" s="176"/>
      <c r="B370" s="178"/>
      <c r="C370" s="178" t="s">
        <v>127</v>
      </c>
      <c r="D370" s="178" t="s">
        <v>32</v>
      </c>
      <c r="E370" s="178" t="s">
        <v>115</v>
      </c>
      <c r="F370" s="178" t="s">
        <v>379</v>
      </c>
      <c r="G370" s="178"/>
      <c r="H370" s="178"/>
      <c r="I370" s="203">
        <v>0.7505</v>
      </c>
      <c r="J370" s="215">
        <f t="shared" si="12"/>
        <v>0</v>
      </c>
    </row>
    <row r="371" spans="1:10">
      <c r="A371" s="176"/>
      <c r="B371" s="178"/>
      <c r="C371" s="178" t="s">
        <v>223</v>
      </c>
      <c r="D371" s="178" t="s">
        <v>32</v>
      </c>
      <c r="E371" s="178" t="s">
        <v>115</v>
      </c>
      <c r="F371" s="178" t="s">
        <v>374</v>
      </c>
      <c r="G371" s="178"/>
      <c r="H371" s="178"/>
      <c r="I371" s="203">
        <v>0.4004</v>
      </c>
      <c r="J371" s="215">
        <f t="shared" si="12"/>
        <v>0</v>
      </c>
    </row>
    <row r="372" spans="1:10">
      <c r="A372" s="176"/>
      <c r="B372" s="178"/>
      <c r="C372" s="178" t="s">
        <v>114</v>
      </c>
      <c r="D372" s="178" t="s">
        <v>32</v>
      </c>
      <c r="E372" s="178" t="s">
        <v>115</v>
      </c>
      <c r="F372" s="178" t="s">
        <v>380</v>
      </c>
      <c r="G372" s="178"/>
      <c r="H372" s="178"/>
      <c r="I372" s="203">
        <v>0.8434</v>
      </c>
      <c r="J372" s="215">
        <f t="shared" si="12"/>
        <v>0</v>
      </c>
    </row>
    <row r="373" spans="1:10">
      <c r="A373" s="176"/>
      <c r="B373" s="178"/>
      <c r="C373" s="178" t="s">
        <v>129</v>
      </c>
      <c r="D373" s="178" t="s">
        <v>32</v>
      </c>
      <c r="E373" s="178" t="s">
        <v>115</v>
      </c>
      <c r="F373" s="178" t="s">
        <v>381</v>
      </c>
      <c r="G373" s="178"/>
      <c r="H373" s="178"/>
      <c r="I373" s="203">
        <v>0.4865</v>
      </c>
      <c r="J373" s="215">
        <f t="shared" si="12"/>
        <v>0</v>
      </c>
    </row>
    <row r="374" spans="1:10">
      <c r="A374" s="176"/>
      <c r="B374" s="178"/>
      <c r="C374" s="178" t="s">
        <v>114</v>
      </c>
      <c r="D374" s="178" t="s">
        <v>32</v>
      </c>
      <c r="E374" s="178" t="s">
        <v>115</v>
      </c>
      <c r="F374" s="178" t="s">
        <v>382</v>
      </c>
      <c r="G374" s="178"/>
      <c r="H374" s="178"/>
      <c r="I374" s="203">
        <v>0.9928</v>
      </c>
      <c r="J374" s="215">
        <f t="shared" si="12"/>
        <v>0</v>
      </c>
    </row>
    <row r="375" spans="1:10">
      <c r="A375" s="176"/>
      <c r="B375" s="178"/>
      <c r="C375" s="178" t="s">
        <v>180</v>
      </c>
      <c r="D375" s="178" t="s">
        <v>32</v>
      </c>
      <c r="E375" s="178" t="s">
        <v>115</v>
      </c>
      <c r="F375" s="178" t="s">
        <v>383</v>
      </c>
      <c r="G375" s="178"/>
      <c r="H375" s="178"/>
      <c r="I375" s="203">
        <v>0.0778</v>
      </c>
      <c r="J375" s="215">
        <f t="shared" si="12"/>
        <v>0</v>
      </c>
    </row>
    <row r="376" spans="1:10">
      <c r="A376" s="176"/>
      <c r="B376" s="178"/>
      <c r="C376" s="178" t="s">
        <v>129</v>
      </c>
      <c r="D376" s="178" t="s">
        <v>32</v>
      </c>
      <c r="E376" s="178" t="s">
        <v>115</v>
      </c>
      <c r="F376" s="178" t="s">
        <v>384</v>
      </c>
      <c r="G376" s="178"/>
      <c r="H376" s="178"/>
      <c r="I376" s="203">
        <v>0.5595</v>
      </c>
      <c r="J376" s="215">
        <f t="shared" si="12"/>
        <v>0</v>
      </c>
    </row>
    <row r="377" spans="1:10">
      <c r="A377" s="176"/>
      <c r="B377" s="178"/>
      <c r="C377" s="178" t="s">
        <v>114</v>
      </c>
      <c r="D377" s="178" t="s">
        <v>32</v>
      </c>
      <c r="E377" s="178" t="s">
        <v>115</v>
      </c>
      <c r="F377" s="178" t="s">
        <v>385</v>
      </c>
      <c r="G377" s="178"/>
      <c r="H377" s="178"/>
      <c r="I377" s="203">
        <v>0.4129</v>
      </c>
      <c r="J377" s="215">
        <f t="shared" si="12"/>
        <v>0</v>
      </c>
    </row>
    <row r="378" spans="1:10">
      <c r="A378" s="176"/>
      <c r="B378" s="178"/>
      <c r="C378" s="178" t="s">
        <v>142</v>
      </c>
      <c r="D378" s="178" t="s">
        <v>32</v>
      </c>
      <c r="E378" s="178" t="s">
        <v>115</v>
      </c>
      <c r="F378" s="178" t="s">
        <v>368</v>
      </c>
      <c r="G378" s="178"/>
      <c r="H378" s="178"/>
      <c r="I378" s="203">
        <v>0.8346</v>
      </c>
      <c r="J378" s="215">
        <f t="shared" si="12"/>
        <v>0</v>
      </c>
    </row>
    <row r="379" spans="1:10">
      <c r="A379" s="176"/>
      <c r="B379" s="178"/>
      <c r="C379" s="178" t="s">
        <v>223</v>
      </c>
      <c r="D379" s="178" t="s">
        <v>32</v>
      </c>
      <c r="E379" s="178" t="s">
        <v>115</v>
      </c>
      <c r="F379" s="178" t="s">
        <v>325</v>
      </c>
      <c r="G379" s="178"/>
      <c r="H379" s="178"/>
      <c r="I379" s="203">
        <v>1.3862</v>
      </c>
      <c r="J379" s="215">
        <f t="shared" si="12"/>
        <v>0</v>
      </c>
    </row>
    <row r="380" spans="1:10">
      <c r="A380" s="176"/>
      <c r="B380" s="178"/>
      <c r="C380" s="178" t="s">
        <v>145</v>
      </c>
      <c r="D380" s="178" t="s">
        <v>32</v>
      </c>
      <c r="E380" s="178" t="s">
        <v>115</v>
      </c>
      <c r="F380" s="178" t="s">
        <v>386</v>
      </c>
      <c r="G380" s="178"/>
      <c r="H380" s="178"/>
      <c r="I380" s="203">
        <v>0.0762</v>
      </c>
      <c r="J380" s="215">
        <f t="shared" si="12"/>
        <v>0</v>
      </c>
    </row>
    <row r="381" spans="1:10">
      <c r="A381" s="176"/>
      <c r="B381" s="178"/>
      <c r="C381" s="178" t="s">
        <v>146</v>
      </c>
      <c r="D381" s="178" t="s">
        <v>32</v>
      </c>
      <c r="E381" s="178" t="s">
        <v>115</v>
      </c>
      <c r="F381" s="178" t="s">
        <v>387</v>
      </c>
      <c r="G381" s="178"/>
      <c r="H381" s="178"/>
      <c r="I381" s="203">
        <v>0.122</v>
      </c>
      <c r="J381" s="215">
        <f t="shared" si="12"/>
        <v>0</v>
      </c>
    </row>
    <row r="382" spans="1:10">
      <c r="A382" s="176"/>
      <c r="B382" s="178"/>
      <c r="C382" s="178" t="s">
        <v>31</v>
      </c>
      <c r="D382" s="178" t="s">
        <v>32</v>
      </c>
      <c r="E382" s="178" t="s">
        <v>33</v>
      </c>
      <c r="F382" s="178" t="s">
        <v>388</v>
      </c>
      <c r="G382" s="178"/>
      <c r="H382" s="178"/>
      <c r="I382" s="203">
        <v>1.1963</v>
      </c>
      <c r="J382" s="215">
        <f t="shared" si="12"/>
        <v>0</v>
      </c>
    </row>
    <row r="383" spans="1:10">
      <c r="A383" s="176"/>
      <c r="B383" s="178"/>
      <c r="C383" s="178" t="s">
        <v>35</v>
      </c>
      <c r="D383" s="178" t="s">
        <v>32</v>
      </c>
      <c r="E383" s="178" t="s">
        <v>33</v>
      </c>
      <c r="F383" s="178" t="s">
        <v>388</v>
      </c>
      <c r="G383" s="178"/>
      <c r="H383" s="178"/>
      <c r="I383" s="203">
        <v>1.1963</v>
      </c>
      <c r="J383" s="215">
        <f t="shared" si="12"/>
        <v>0</v>
      </c>
    </row>
    <row r="384" spans="1:10">
      <c r="A384" s="176"/>
      <c r="B384" s="178"/>
      <c r="C384" s="178" t="s">
        <v>31</v>
      </c>
      <c r="D384" s="178" t="s">
        <v>32</v>
      </c>
      <c r="E384" s="178" t="s">
        <v>111</v>
      </c>
      <c r="F384" s="178" t="s">
        <v>389</v>
      </c>
      <c r="G384" s="178"/>
      <c r="H384" s="178"/>
      <c r="I384" s="203">
        <v>0.7859</v>
      </c>
      <c r="J384" s="215">
        <f t="shared" si="12"/>
        <v>0</v>
      </c>
    </row>
    <row r="385" spans="1:10">
      <c r="A385" s="176"/>
      <c r="B385" s="178"/>
      <c r="C385" s="178" t="s">
        <v>31</v>
      </c>
      <c r="D385" s="178" t="s">
        <v>32</v>
      </c>
      <c r="E385" s="178" t="s">
        <v>111</v>
      </c>
      <c r="F385" s="178" t="s">
        <v>390</v>
      </c>
      <c r="G385" s="178"/>
      <c r="H385" s="178"/>
      <c r="I385" s="203">
        <v>0.3488</v>
      </c>
      <c r="J385" s="215">
        <f t="shared" si="12"/>
        <v>0</v>
      </c>
    </row>
    <row r="386" spans="1:10">
      <c r="A386" s="176"/>
      <c r="B386" s="178"/>
      <c r="C386" s="178" t="s">
        <v>47</v>
      </c>
      <c r="D386" s="178" t="s">
        <v>48</v>
      </c>
      <c r="E386" s="178" t="s">
        <v>48</v>
      </c>
      <c r="F386" s="178" t="s">
        <v>49</v>
      </c>
      <c r="G386" s="178"/>
      <c r="H386" s="178"/>
      <c r="I386" s="178">
        <v>96</v>
      </c>
      <c r="J386" s="215">
        <f t="shared" si="12"/>
        <v>0</v>
      </c>
    </row>
    <row r="387" spans="1:10">
      <c r="A387" s="176"/>
      <c r="B387" s="178"/>
      <c r="C387" s="178" t="s">
        <v>50</v>
      </c>
      <c r="D387" s="178" t="s">
        <v>51</v>
      </c>
      <c r="E387" s="178" t="s">
        <v>51</v>
      </c>
      <c r="F387" s="178" t="s">
        <v>76</v>
      </c>
      <c r="G387" s="178"/>
      <c r="H387" s="178"/>
      <c r="I387" s="178">
        <v>2</v>
      </c>
      <c r="J387" s="215">
        <f t="shared" si="12"/>
        <v>0</v>
      </c>
    </row>
    <row r="388" spans="1:10">
      <c r="A388" s="176"/>
      <c r="B388" s="178"/>
      <c r="C388" s="178" t="s">
        <v>53</v>
      </c>
      <c r="D388" s="178" t="s">
        <v>48</v>
      </c>
      <c r="E388" s="178" t="s">
        <v>48</v>
      </c>
      <c r="F388" s="178" t="s">
        <v>77</v>
      </c>
      <c r="G388" s="178"/>
      <c r="H388" s="178"/>
      <c r="I388" s="178">
        <v>2</v>
      </c>
      <c r="J388" s="215">
        <f t="shared" si="12"/>
        <v>0</v>
      </c>
    </row>
    <row r="389" spans="1:10">
      <c r="A389" s="176"/>
      <c r="B389" s="178"/>
      <c r="C389" s="178" t="s">
        <v>151</v>
      </c>
      <c r="D389" s="178" t="s">
        <v>56</v>
      </c>
      <c r="E389" s="178" t="s">
        <v>56</v>
      </c>
      <c r="F389" s="178" t="s">
        <v>152</v>
      </c>
      <c r="G389" s="178"/>
      <c r="H389" s="178"/>
      <c r="I389" s="178">
        <v>6</v>
      </c>
      <c r="J389" s="215">
        <f t="shared" si="12"/>
        <v>0</v>
      </c>
    </row>
    <row r="390" spans="1:10">
      <c r="A390" s="176"/>
      <c r="B390" s="178"/>
      <c r="C390" s="178" t="s">
        <v>55</v>
      </c>
      <c r="D390" s="178" t="s">
        <v>56</v>
      </c>
      <c r="E390" s="178" t="s">
        <v>56</v>
      </c>
      <c r="F390" s="178" t="s">
        <v>62</v>
      </c>
      <c r="G390" s="178"/>
      <c r="H390" s="178"/>
      <c r="I390" s="178">
        <v>5</v>
      </c>
      <c r="J390" s="215">
        <f t="shared" si="12"/>
        <v>0</v>
      </c>
    </row>
    <row r="391" spans="1:10">
      <c r="A391" s="176"/>
      <c r="B391" s="178"/>
      <c r="C391" s="178" t="s">
        <v>55</v>
      </c>
      <c r="D391" s="178" t="s">
        <v>56</v>
      </c>
      <c r="E391" s="178" t="s">
        <v>56</v>
      </c>
      <c r="F391" s="178" t="s">
        <v>57</v>
      </c>
      <c r="G391" s="178"/>
      <c r="H391" s="178"/>
      <c r="I391" s="178">
        <v>11</v>
      </c>
      <c r="J391" s="215">
        <f t="shared" si="12"/>
        <v>0</v>
      </c>
    </row>
    <row r="392" spans="1:10">
      <c r="A392" s="176"/>
      <c r="B392" s="178"/>
      <c r="C392" s="178" t="s">
        <v>69</v>
      </c>
      <c r="D392" s="178" t="s">
        <v>70</v>
      </c>
      <c r="E392" s="178" t="s">
        <v>70</v>
      </c>
      <c r="F392" s="178" t="s">
        <v>78</v>
      </c>
      <c r="G392" s="178"/>
      <c r="H392" s="178"/>
      <c r="I392" s="178">
        <v>1</v>
      </c>
      <c r="J392" s="215">
        <f t="shared" si="12"/>
        <v>0</v>
      </c>
    </row>
    <row r="393" spans="1:10">
      <c r="A393" s="176"/>
      <c r="B393" s="178"/>
      <c r="C393" s="178" t="s">
        <v>72</v>
      </c>
      <c r="D393" s="178" t="s">
        <v>73</v>
      </c>
      <c r="E393" s="178" t="s">
        <v>73</v>
      </c>
      <c r="F393" s="178" t="s">
        <v>74</v>
      </c>
      <c r="G393" s="178"/>
      <c r="H393" s="178"/>
      <c r="I393" s="178">
        <v>2</v>
      </c>
      <c r="J393" s="215">
        <f t="shared" si="12"/>
        <v>0</v>
      </c>
    </row>
    <row r="394" ht="14.25" spans="1:10">
      <c r="A394" s="224" t="s">
        <v>391</v>
      </c>
      <c r="B394" s="225"/>
      <c r="C394" s="225"/>
      <c r="D394" s="225"/>
      <c r="E394" s="225"/>
      <c r="F394" s="225"/>
      <c r="G394" s="225"/>
      <c r="H394" s="225"/>
      <c r="I394" s="225"/>
      <c r="J394" s="226">
        <f>SUM(J354:J393)</f>
        <v>0</v>
      </c>
    </row>
    <row r="396" spans="1:10">
      <c r="A396" s="63" t="s">
        <v>17</v>
      </c>
      <c r="B396" s="64" t="s">
        <v>18</v>
      </c>
      <c r="C396" s="64" t="s">
        <v>105</v>
      </c>
      <c r="D396" s="64" t="s">
        <v>45</v>
      </c>
      <c r="E396" s="64" t="s">
        <v>21</v>
      </c>
      <c r="F396" s="206" t="s">
        <v>106</v>
      </c>
      <c r="G396" s="208"/>
      <c r="H396" s="208" t="s">
        <v>23</v>
      </c>
      <c r="I396" s="196" t="s">
        <v>107</v>
      </c>
      <c r="J396" s="50" t="s">
        <v>26</v>
      </c>
    </row>
    <row r="397" ht="14.25" spans="1:10">
      <c r="A397" s="63"/>
      <c r="B397" s="64"/>
      <c r="C397" s="64"/>
      <c r="D397" s="64"/>
      <c r="E397" s="64"/>
      <c r="F397" s="49"/>
      <c r="G397" s="210"/>
      <c r="H397" s="210"/>
      <c r="I397" s="6"/>
      <c r="J397" s="50"/>
    </row>
    <row r="398" spans="1:10">
      <c r="A398" s="171" t="s">
        <v>154</v>
      </c>
      <c r="B398" s="211" t="s">
        <v>392</v>
      </c>
      <c r="C398" s="173" t="s">
        <v>110</v>
      </c>
      <c r="D398" s="173" t="s">
        <v>32</v>
      </c>
      <c r="E398" s="173" t="s">
        <v>115</v>
      </c>
      <c r="F398" s="173" t="s">
        <v>325</v>
      </c>
      <c r="G398" s="173"/>
      <c r="H398" s="173"/>
      <c r="I398" s="201">
        <v>1.3862</v>
      </c>
      <c r="J398" s="214">
        <f t="shared" ref="J398:J417" si="13">H398*I398</f>
        <v>0</v>
      </c>
    </row>
    <row r="399" spans="1:10">
      <c r="A399" s="176"/>
      <c r="B399" s="178"/>
      <c r="C399" s="178" t="s">
        <v>199</v>
      </c>
      <c r="D399" s="178" t="s">
        <v>32</v>
      </c>
      <c r="E399" s="178" t="s">
        <v>115</v>
      </c>
      <c r="F399" s="178" t="s">
        <v>393</v>
      </c>
      <c r="G399" s="178"/>
      <c r="H399" s="178"/>
      <c r="I399" s="203">
        <v>0.1247</v>
      </c>
      <c r="J399" s="215">
        <f t="shared" si="13"/>
        <v>0</v>
      </c>
    </row>
    <row r="400" spans="1:10">
      <c r="A400" s="176"/>
      <c r="B400" s="178"/>
      <c r="C400" s="178" t="s">
        <v>327</v>
      </c>
      <c r="D400" s="178" t="s">
        <v>32</v>
      </c>
      <c r="E400" s="178" t="s">
        <v>115</v>
      </c>
      <c r="F400" s="178" t="s">
        <v>328</v>
      </c>
      <c r="G400" s="178"/>
      <c r="H400" s="178"/>
      <c r="I400" s="203">
        <v>0.0314</v>
      </c>
      <c r="J400" s="215">
        <f t="shared" si="13"/>
        <v>0</v>
      </c>
    </row>
    <row r="401" spans="1:10">
      <c r="A401" s="176"/>
      <c r="B401" s="178"/>
      <c r="C401" s="178" t="s">
        <v>117</v>
      </c>
      <c r="D401" s="178" t="s">
        <v>32</v>
      </c>
      <c r="E401" s="178" t="s">
        <v>115</v>
      </c>
      <c r="F401" s="178" t="s">
        <v>394</v>
      </c>
      <c r="G401" s="178"/>
      <c r="H401" s="178"/>
      <c r="I401" s="203">
        <v>0.6026</v>
      </c>
      <c r="J401" s="215">
        <f t="shared" si="13"/>
        <v>0</v>
      </c>
    </row>
    <row r="402" spans="1:10">
      <c r="A402" s="176"/>
      <c r="B402" s="178"/>
      <c r="C402" s="178" t="s">
        <v>131</v>
      </c>
      <c r="D402" s="178" t="s">
        <v>32</v>
      </c>
      <c r="E402" s="178" t="s">
        <v>111</v>
      </c>
      <c r="F402" s="178" t="s">
        <v>395</v>
      </c>
      <c r="G402" s="178"/>
      <c r="H402" s="178"/>
      <c r="I402" s="203">
        <v>1.464</v>
      </c>
      <c r="J402" s="215">
        <f t="shared" si="13"/>
        <v>0</v>
      </c>
    </row>
    <row r="403" spans="1:10">
      <c r="A403" s="176"/>
      <c r="B403" s="178"/>
      <c r="C403" s="178" t="s">
        <v>114</v>
      </c>
      <c r="D403" s="178" t="s">
        <v>32</v>
      </c>
      <c r="E403" s="178" t="s">
        <v>115</v>
      </c>
      <c r="F403" s="178" t="s">
        <v>396</v>
      </c>
      <c r="G403" s="178"/>
      <c r="H403" s="178"/>
      <c r="I403" s="203">
        <v>1.9679</v>
      </c>
      <c r="J403" s="215">
        <f t="shared" si="13"/>
        <v>0</v>
      </c>
    </row>
    <row r="404" spans="1:10">
      <c r="A404" s="176"/>
      <c r="B404" s="178"/>
      <c r="C404" s="178" t="s">
        <v>180</v>
      </c>
      <c r="D404" s="178" t="s">
        <v>32</v>
      </c>
      <c r="E404" s="178" t="s">
        <v>115</v>
      </c>
      <c r="F404" s="178" t="s">
        <v>397</v>
      </c>
      <c r="G404" s="178"/>
      <c r="H404" s="178"/>
      <c r="I404" s="203">
        <v>0.1662</v>
      </c>
      <c r="J404" s="215">
        <f t="shared" si="13"/>
        <v>0</v>
      </c>
    </row>
    <row r="405" spans="1:10">
      <c r="A405" s="176"/>
      <c r="B405" s="178"/>
      <c r="C405" s="178" t="s">
        <v>129</v>
      </c>
      <c r="D405" s="178" t="s">
        <v>32</v>
      </c>
      <c r="E405" s="178" t="s">
        <v>115</v>
      </c>
      <c r="F405" s="178" t="s">
        <v>398</v>
      </c>
      <c r="G405" s="178"/>
      <c r="H405" s="178"/>
      <c r="I405" s="203">
        <v>0.5974</v>
      </c>
      <c r="J405" s="215">
        <f t="shared" si="13"/>
        <v>0</v>
      </c>
    </row>
    <row r="406" spans="1:10">
      <c r="A406" s="176"/>
      <c r="B406" s="178"/>
      <c r="C406" s="178" t="s">
        <v>114</v>
      </c>
      <c r="D406" s="178" t="s">
        <v>32</v>
      </c>
      <c r="E406" s="178" t="s">
        <v>115</v>
      </c>
      <c r="F406" s="178" t="s">
        <v>399</v>
      </c>
      <c r="G406" s="178"/>
      <c r="H406" s="178"/>
      <c r="I406" s="203">
        <v>0.4406</v>
      </c>
      <c r="J406" s="215">
        <f t="shared" si="13"/>
        <v>0</v>
      </c>
    </row>
    <row r="407" spans="1:10">
      <c r="A407" s="176"/>
      <c r="B407" s="178"/>
      <c r="C407" s="178" t="s">
        <v>142</v>
      </c>
      <c r="D407" s="178" t="s">
        <v>32</v>
      </c>
      <c r="E407" s="178" t="s">
        <v>115</v>
      </c>
      <c r="F407" s="178" t="s">
        <v>394</v>
      </c>
      <c r="G407" s="178"/>
      <c r="H407" s="178"/>
      <c r="I407" s="203">
        <v>0.6026</v>
      </c>
      <c r="J407" s="215">
        <f t="shared" si="13"/>
        <v>0</v>
      </c>
    </row>
    <row r="408" spans="1:10">
      <c r="A408" s="176"/>
      <c r="B408" s="178"/>
      <c r="C408" s="178" t="s">
        <v>223</v>
      </c>
      <c r="D408" s="178" t="s">
        <v>32</v>
      </c>
      <c r="E408" s="178" t="s">
        <v>115</v>
      </c>
      <c r="F408" s="178" t="s">
        <v>325</v>
      </c>
      <c r="G408" s="178"/>
      <c r="H408" s="178"/>
      <c r="I408" s="203">
        <v>1.3862</v>
      </c>
      <c r="J408" s="215">
        <f t="shared" si="13"/>
        <v>0</v>
      </c>
    </row>
    <row r="409" spans="1:10">
      <c r="A409" s="176"/>
      <c r="B409" s="178"/>
      <c r="C409" s="178" t="s">
        <v>145</v>
      </c>
      <c r="D409" s="178" t="s">
        <v>32</v>
      </c>
      <c r="E409" s="178" t="s">
        <v>115</v>
      </c>
      <c r="F409" s="178" t="s">
        <v>400</v>
      </c>
      <c r="G409" s="178"/>
      <c r="H409" s="178"/>
      <c r="I409" s="203">
        <v>0.0538</v>
      </c>
      <c r="J409" s="215">
        <f t="shared" si="13"/>
        <v>0</v>
      </c>
    </row>
    <row r="410" spans="1:10">
      <c r="A410" s="176"/>
      <c r="B410" s="178"/>
      <c r="C410" s="178" t="s">
        <v>146</v>
      </c>
      <c r="D410" s="178" t="s">
        <v>32</v>
      </c>
      <c r="E410" s="178" t="s">
        <v>115</v>
      </c>
      <c r="F410" s="178" t="s">
        <v>401</v>
      </c>
      <c r="G410" s="178"/>
      <c r="H410" s="178"/>
      <c r="I410" s="203">
        <v>0.086</v>
      </c>
      <c r="J410" s="215">
        <f t="shared" si="13"/>
        <v>0</v>
      </c>
    </row>
    <row r="411" spans="1:10">
      <c r="A411" s="176"/>
      <c r="B411" s="178"/>
      <c r="C411" s="178" t="s">
        <v>35</v>
      </c>
      <c r="D411" s="178" t="s">
        <v>32</v>
      </c>
      <c r="E411" s="178" t="s">
        <v>111</v>
      </c>
      <c r="F411" s="178" t="s">
        <v>389</v>
      </c>
      <c r="G411" s="178"/>
      <c r="H411" s="178"/>
      <c r="I411" s="203">
        <v>0.7859</v>
      </c>
      <c r="J411" s="215">
        <f t="shared" si="13"/>
        <v>0</v>
      </c>
    </row>
    <row r="412" spans="1:10">
      <c r="A412" s="176"/>
      <c r="B412" s="178"/>
      <c r="C412" s="178" t="s">
        <v>35</v>
      </c>
      <c r="D412" s="178" t="s">
        <v>32</v>
      </c>
      <c r="E412" s="178" t="s">
        <v>111</v>
      </c>
      <c r="F412" s="178" t="s">
        <v>390</v>
      </c>
      <c r="G412" s="178"/>
      <c r="H412" s="178"/>
      <c r="I412" s="203">
        <v>0.3488</v>
      </c>
      <c r="J412" s="215">
        <f t="shared" si="13"/>
        <v>0</v>
      </c>
    </row>
    <row r="413" spans="1:10">
      <c r="A413" s="176"/>
      <c r="B413" s="178"/>
      <c r="C413" s="178" t="s">
        <v>47</v>
      </c>
      <c r="D413" s="178" t="s">
        <v>48</v>
      </c>
      <c r="E413" s="178" t="s">
        <v>48</v>
      </c>
      <c r="F413" s="178" t="s">
        <v>49</v>
      </c>
      <c r="G413" s="178"/>
      <c r="H413" s="178"/>
      <c r="I413" s="178">
        <v>56</v>
      </c>
      <c r="J413" s="215">
        <f t="shared" si="13"/>
        <v>0</v>
      </c>
    </row>
    <row r="414" spans="1:10">
      <c r="A414" s="176"/>
      <c r="B414" s="178"/>
      <c r="C414" s="178" t="s">
        <v>55</v>
      </c>
      <c r="D414" s="178" t="s">
        <v>56</v>
      </c>
      <c r="E414" s="178" t="s">
        <v>56</v>
      </c>
      <c r="F414" s="178" t="s">
        <v>57</v>
      </c>
      <c r="G414" s="178"/>
      <c r="H414" s="178"/>
      <c r="I414" s="178">
        <v>6</v>
      </c>
      <c r="J414" s="215">
        <f t="shared" si="13"/>
        <v>0</v>
      </c>
    </row>
    <row r="415" spans="1:10">
      <c r="A415" s="176"/>
      <c r="B415" s="178"/>
      <c r="C415" s="178" t="s">
        <v>151</v>
      </c>
      <c r="D415" s="178" t="s">
        <v>56</v>
      </c>
      <c r="E415" s="178" t="s">
        <v>56</v>
      </c>
      <c r="F415" s="178" t="s">
        <v>152</v>
      </c>
      <c r="G415" s="178"/>
      <c r="H415" s="178"/>
      <c r="I415" s="178">
        <v>2</v>
      </c>
      <c r="J415" s="215">
        <f t="shared" si="13"/>
        <v>0</v>
      </c>
    </row>
    <row r="416" spans="1:10">
      <c r="A416" s="176"/>
      <c r="B416" s="178"/>
      <c r="C416" s="178" t="s">
        <v>69</v>
      </c>
      <c r="D416" s="178" t="s">
        <v>70</v>
      </c>
      <c r="E416" s="178" t="s">
        <v>70</v>
      </c>
      <c r="F416" s="178" t="s">
        <v>79</v>
      </c>
      <c r="G416" s="178"/>
      <c r="H416" s="178"/>
      <c r="I416" s="178">
        <v>1</v>
      </c>
      <c r="J416" s="215">
        <f t="shared" si="13"/>
        <v>0</v>
      </c>
    </row>
    <row r="417" spans="1:10">
      <c r="A417" s="176"/>
      <c r="B417" s="178"/>
      <c r="C417" s="178" t="s">
        <v>72</v>
      </c>
      <c r="D417" s="178" t="s">
        <v>73</v>
      </c>
      <c r="E417" s="178" t="s">
        <v>73</v>
      </c>
      <c r="F417" s="178" t="s">
        <v>74</v>
      </c>
      <c r="G417" s="178"/>
      <c r="H417" s="178"/>
      <c r="I417" s="178">
        <v>2</v>
      </c>
      <c r="J417" s="215">
        <f t="shared" si="13"/>
        <v>0</v>
      </c>
    </row>
    <row r="418" ht="14.25" spans="1:10">
      <c r="A418" s="224" t="s">
        <v>402</v>
      </c>
      <c r="B418" s="225"/>
      <c r="C418" s="225"/>
      <c r="D418" s="225"/>
      <c r="E418" s="225"/>
      <c r="F418" s="225"/>
      <c r="G418" s="225"/>
      <c r="H418" s="225"/>
      <c r="I418" s="225"/>
      <c r="J418" s="226">
        <f>SUM(J398:J417)</f>
        <v>0</v>
      </c>
    </row>
    <row r="420" spans="1:10">
      <c r="A420" s="63" t="s">
        <v>17</v>
      </c>
      <c r="B420" s="64" t="s">
        <v>18</v>
      </c>
      <c r="C420" s="64" t="s">
        <v>105</v>
      </c>
      <c r="D420" s="64" t="s">
        <v>45</v>
      </c>
      <c r="E420" s="64" t="s">
        <v>21</v>
      </c>
      <c r="F420" s="206" t="s">
        <v>106</v>
      </c>
      <c r="G420" s="208"/>
      <c r="H420" s="208" t="s">
        <v>23</v>
      </c>
      <c r="I420" s="196" t="s">
        <v>107</v>
      </c>
      <c r="J420" s="50" t="s">
        <v>26</v>
      </c>
    </row>
    <row r="421" ht="14.25" spans="1:10">
      <c r="A421" s="63"/>
      <c r="B421" s="64"/>
      <c r="C421" s="64"/>
      <c r="D421" s="64"/>
      <c r="E421" s="64"/>
      <c r="F421" s="49"/>
      <c r="G421" s="210"/>
      <c r="H421" s="210"/>
      <c r="I421" s="6"/>
      <c r="J421" s="50"/>
    </row>
    <row r="422" spans="1:10">
      <c r="A422" s="171" t="s">
        <v>196</v>
      </c>
      <c r="B422" s="211" t="s">
        <v>403</v>
      </c>
      <c r="C422" s="173" t="s">
        <v>110</v>
      </c>
      <c r="D422" s="173" t="s">
        <v>32</v>
      </c>
      <c r="E422" s="173" t="s">
        <v>111</v>
      </c>
      <c r="F422" s="173" t="s">
        <v>395</v>
      </c>
      <c r="G422" s="173"/>
      <c r="H422" s="173"/>
      <c r="I422" s="201">
        <v>1.464</v>
      </c>
      <c r="J422" s="214">
        <f t="shared" ref="J422:J444" si="14">H422*I422</f>
        <v>0</v>
      </c>
    </row>
    <row r="423" spans="1:10">
      <c r="A423" s="176"/>
      <c r="B423" s="178"/>
      <c r="C423" s="178" t="s">
        <v>199</v>
      </c>
      <c r="D423" s="178" t="s">
        <v>32</v>
      </c>
      <c r="E423" s="178" t="s">
        <v>115</v>
      </c>
      <c r="F423" s="178" t="s">
        <v>404</v>
      </c>
      <c r="G423" s="178"/>
      <c r="H423" s="178"/>
      <c r="I423" s="203">
        <v>0.0893</v>
      </c>
      <c r="J423" s="215">
        <f t="shared" si="14"/>
        <v>0</v>
      </c>
    </row>
    <row r="424" spans="1:10">
      <c r="A424" s="176"/>
      <c r="B424" s="178"/>
      <c r="C424" s="178" t="s">
        <v>117</v>
      </c>
      <c r="D424" s="178" t="s">
        <v>32</v>
      </c>
      <c r="E424" s="178" t="s">
        <v>115</v>
      </c>
      <c r="F424" s="178" t="s">
        <v>405</v>
      </c>
      <c r="G424" s="178"/>
      <c r="H424" s="178"/>
      <c r="I424" s="203">
        <v>0.4315</v>
      </c>
      <c r="J424" s="215">
        <f t="shared" si="14"/>
        <v>0</v>
      </c>
    </row>
    <row r="425" spans="1:10">
      <c r="A425" s="176"/>
      <c r="B425" s="178"/>
      <c r="C425" s="178" t="s">
        <v>114</v>
      </c>
      <c r="D425" s="178" t="s">
        <v>32</v>
      </c>
      <c r="E425" s="178" t="s">
        <v>115</v>
      </c>
      <c r="F425" s="178" t="s">
        <v>406</v>
      </c>
      <c r="G425" s="178"/>
      <c r="H425" s="178"/>
      <c r="I425" s="203">
        <v>0.5165</v>
      </c>
      <c r="J425" s="215">
        <f t="shared" si="14"/>
        <v>0</v>
      </c>
    </row>
    <row r="426" spans="1:10">
      <c r="A426" s="176"/>
      <c r="B426" s="178"/>
      <c r="C426" s="178" t="s">
        <v>129</v>
      </c>
      <c r="D426" s="178" t="s">
        <v>32</v>
      </c>
      <c r="E426" s="178" t="s">
        <v>115</v>
      </c>
      <c r="F426" s="178" t="s">
        <v>405</v>
      </c>
      <c r="G426" s="178"/>
      <c r="H426" s="178"/>
      <c r="I426" s="203">
        <v>0.4315</v>
      </c>
      <c r="J426" s="215">
        <f t="shared" si="14"/>
        <v>0</v>
      </c>
    </row>
    <row r="427" spans="1:10">
      <c r="A427" s="176"/>
      <c r="B427" s="178"/>
      <c r="C427" s="178" t="s">
        <v>114</v>
      </c>
      <c r="D427" s="178" t="s">
        <v>32</v>
      </c>
      <c r="E427" s="178" t="s">
        <v>115</v>
      </c>
      <c r="F427" s="178" t="s">
        <v>407</v>
      </c>
      <c r="G427" s="178"/>
      <c r="H427" s="178"/>
      <c r="I427" s="203">
        <v>0.892</v>
      </c>
      <c r="J427" s="215">
        <f t="shared" si="14"/>
        <v>0</v>
      </c>
    </row>
    <row r="428" spans="1:10">
      <c r="A428" s="176"/>
      <c r="B428" s="178"/>
      <c r="C428" s="178" t="s">
        <v>180</v>
      </c>
      <c r="D428" s="178" t="s">
        <v>32</v>
      </c>
      <c r="E428" s="178" t="s">
        <v>115</v>
      </c>
      <c r="F428" s="178" t="s">
        <v>408</v>
      </c>
      <c r="G428" s="178"/>
      <c r="H428" s="178"/>
      <c r="I428" s="203">
        <v>0.0595</v>
      </c>
      <c r="J428" s="215">
        <f t="shared" si="14"/>
        <v>0</v>
      </c>
    </row>
    <row r="429" spans="1:10">
      <c r="A429" s="176"/>
      <c r="B429" s="178"/>
      <c r="C429" s="178" t="s">
        <v>129</v>
      </c>
      <c r="D429" s="178" t="s">
        <v>32</v>
      </c>
      <c r="E429" s="178" t="s">
        <v>115</v>
      </c>
      <c r="F429" s="178" t="s">
        <v>409</v>
      </c>
      <c r="G429" s="178"/>
      <c r="H429" s="178"/>
      <c r="I429" s="203">
        <v>0.4278</v>
      </c>
      <c r="J429" s="215">
        <f t="shared" si="14"/>
        <v>0</v>
      </c>
    </row>
    <row r="430" spans="1:10">
      <c r="A430" s="176"/>
      <c r="B430" s="178"/>
      <c r="C430" s="178" t="s">
        <v>114</v>
      </c>
      <c r="D430" s="178" t="s">
        <v>32</v>
      </c>
      <c r="E430" s="178" t="s">
        <v>115</v>
      </c>
      <c r="F430" s="178" t="s">
        <v>410</v>
      </c>
      <c r="G430" s="178"/>
      <c r="H430" s="178"/>
      <c r="I430" s="203">
        <v>0.3167</v>
      </c>
      <c r="J430" s="215">
        <f t="shared" si="14"/>
        <v>0</v>
      </c>
    </row>
    <row r="431" spans="1:10">
      <c r="A431" s="176"/>
      <c r="B431" s="178"/>
      <c r="C431" s="178" t="s">
        <v>142</v>
      </c>
      <c r="D431" s="178" t="s">
        <v>32</v>
      </c>
      <c r="E431" s="178" t="s">
        <v>115</v>
      </c>
      <c r="F431" s="178" t="s">
        <v>405</v>
      </c>
      <c r="G431" s="178"/>
      <c r="H431" s="178"/>
      <c r="I431" s="203">
        <v>0.4315</v>
      </c>
      <c r="J431" s="215">
        <f t="shared" si="14"/>
        <v>0</v>
      </c>
    </row>
    <row r="432" spans="1:10">
      <c r="A432" s="176"/>
      <c r="B432" s="178"/>
      <c r="C432" s="178" t="s">
        <v>145</v>
      </c>
      <c r="D432" s="178" t="s">
        <v>32</v>
      </c>
      <c r="E432" s="178" t="s">
        <v>115</v>
      </c>
      <c r="F432" s="178" t="s">
        <v>411</v>
      </c>
      <c r="G432" s="178"/>
      <c r="H432" s="178"/>
      <c r="I432" s="203">
        <v>0.0372</v>
      </c>
      <c r="J432" s="215">
        <f t="shared" si="14"/>
        <v>0</v>
      </c>
    </row>
    <row r="433" spans="1:10">
      <c r="A433" s="176"/>
      <c r="B433" s="178"/>
      <c r="C433" s="178" t="s">
        <v>146</v>
      </c>
      <c r="D433" s="178" t="s">
        <v>32</v>
      </c>
      <c r="E433" s="178" t="s">
        <v>115</v>
      </c>
      <c r="F433" s="178" t="s">
        <v>408</v>
      </c>
      <c r="G433" s="178"/>
      <c r="H433" s="178"/>
      <c r="I433" s="203">
        <v>0.0595</v>
      </c>
      <c r="J433" s="215">
        <f t="shared" si="14"/>
        <v>0</v>
      </c>
    </row>
    <row r="434" spans="1:10">
      <c r="A434" s="176"/>
      <c r="B434" s="178"/>
      <c r="C434" s="178" t="s">
        <v>223</v>
      </c>
      <c r="D434" s="178" t="s">
        <v>32</v>
      </c>
      <c r="E434" s="178" t="s">
        <v>111</v>
      </c>
      <c r="F434" s="178" t="s">
        <v>395</v>
      </c>
      <c r="G434" s="178"/>
      <c r="H434" s="178"/>
      <c r="I434" s="203">
        <v>1.464</v>
      </c>
      <c r="J434" s="215">
        <f t="shared" si="14"/>
        <v>0</v>
      </c>
    </row>
    <row r="435" spans="1:10">
      <c r="A435" s="176"/>
      <c r="B435" s="178"/>
      <c r="C435" s="178" t="s">
        <v>31</v>
      </c>
      <c r="D435" s="178" t="s">
        <v>32</v>
      </c>
      <c r="E435" s="178" t="s">
        <v>111</v>
      </c>
      <c r="F435" s="178" t="s">
        <v>412</v>
      </c>
      <c r="G435" s="178"/>
      <c r="H435" s="178"/>
      <c r="I435" s="203">
        <v>0.2727</v>
      </c>
      <c r="J435" s="215">
        <f t="shared" si="14"/>
        <v>0</v>
      </c>
    </row>
    <row r="436" spans="1:10">
      <c r="A436" s="176"/>
      <c r="B436" s="178"/>
      <c r="C436" s="178" t="s">
        <v>35</v>
      </c>
      <c r="D436" s="178" t="s">
        <v>32</v>
      </c>
      <c r="E436" s="178" t="s">
        <v>111</v>
      </c>
      <c r="F436" s="178" t="s">
        <v>412</v>
      </c>
      <c r="G436" s="178"/>
      <c r="H436" s="178"/>
      <c r="I436" s="203">
        <v>0.2727</v>
      </c>
      <c r="J436" s="215">
        <f t="shared" si="14"/>
        <v>0</v>
      </c>
    </row>
    <row r="437" spans="1:10">
      <c r="A437" s="176"/>
      <c r="B437" s="178"/>
      <c r="C437" s="178" t="s">
        <v>31</v>
      </c>
      <c r="D437" s="178" t="s">
        <v>32</v>
      </c>
      <c r="E437" s="178" t="s">
        <v>111</v>
      </c>
      <c r="F437" s="178" t="s">
        <v>413</v>
      </c>
      <c r="G437" s="178"/>
      <c r="H437" s="178"/>
      <c r="I437" s="203">
        <v>0.6144</v>
      </c>
      <c r="J437" s="215">
        <f t="shared" si="14"/>
        <v>0</v>
      </c>
    </row>
    <row r="438" spans="1:10">
      <c r="A438" s="176"/>
      <c r="B438" s="178"/>
      <c r="C438" s="178" t="s">
        <v>35</v>
      </c>
      <c r="D438" s="178" t="s">
        <v>32</v>
      </c>
      <c r="E438" s="178" t="s">
        <v>111</v>
      </c>
      <c r="F438" s="178" t="s">
        <v>413</v>
      </c>
      <c r="G438" s="178"/>
      <c r="H438" s="178"/>
      <c r="I438" s="203">
        <v>0.6144</v>
      </c>
      <c r="J438" s="215">
        <f t="shared" si="14"/>
        <v>0</v>
      </c>
    </row>
    <row r="439" spans="1:10">
      <c r="A439" s="176"/>
      <c r="B439" s="178"/>
      <c r="C439" s="178" t="s">
        <v>47</v>
      </c>
      <c r="D439" s="178" t="s">
        <v>48</v>
      </c>
      <c r="E439" s="178" t="s">
        <v>48</v>
      </c>
      <c r="F439" s="178" t="s">
        <v>49</v>
      </c>
      <c r="G439" s="178"/>
      <c r="H439" s="178"/>
      <c r="I439" s="178">
        <v>37</v>
      </c>
      <c r="J439" s="215">
        <f t="shared" si="14"/>
        <v>0</v>
      </c>
    </row>
    <row r="440" spans="1:10">
      <c r="A440" s="176"/>
      <c r="B440" s="178"/>
      <c r="C440" s="178" t="s">
        <v>55</v>
      </c>
      <c r="D440" s="178" t="s">
        <v>56</v>
      </c>
      <c r="E440" s="178" t="s">
        <v>56</v>
      </c>
      <c r="F440" s="178" t="s">
        <v>65</v>
      </c>
      <c r="G440" s="178"/>
      <c r="H440" s="178"/>
      <c r="I440" s="178">
        <v>6</v>
      </c>
      <c r="J440" s="215">
        <f t="shared" si="14"/>
        <v>0</v>
      </c>
    </row>
    <row r="441" spans="1:10">
      <c r="A441" s="176"/>
      <c r="B441" s="178"/>
      <c r="C441" s="178" t="s">
        <v>151</v>
      </c>
      <c r="D441" s="178" t="s">
        <v>56</v>
      </c>
      <c r="E441" s="178" t="s">
        <v>56</v>
      </c>
      <c r="F441" s="178" t="s">
        <v>152</v>
      </c>
      <c r="G441" s="178"/>
      <c r="H441" s="178"/>
      <c r="I441" s="178">
        <v>4</v>
      </c>
      <c r="J441" s="215">
        <f t="shared" si="14"/>
        <v>0</v>
      </c>
    </row>
    <row r="442" spans="1:10">
      <c r="A442" s="176"/>
      <c r="B442" s="178"/>
      <c r="C442" s="178" t="s">
        <v>55</v>
      </c>
      <c r="D442" s="178" t="s">
        <v>56</v>
      </c>
      <c r="E442" s="178" t="s">
        <v>56</v>
      </c>
      <c r="F442" s="178" t="s">
        <v>57</v>
      </c>
      <c r="G442" s="178"/>
      <c r="H442" s="178"/>
      <c r="I442" s="178">
        <v>6</v>
      </c>
      <c r="J442" s="215">
        <f t="shared" si="14"/>
        <v>0</v>
      </c>
    </row>
    <row r="443" spans="1:10">
      <c r="A443" s="176"/>
      <c r="B443" s="178"/>
      <c r="C443" s="178" t="s">
        <v>69</v>
      </c>
      <c r="D443" s="178" t="s">
        <v>70</v>
      </c>
      <c r="E443" s="178" t="s">
        <v>70</v>
      </c>
      <c r="F443" s="178" t="s">
        <v>80</v>
      </c>
      <c r="G443" s="178"/>
      <c r="H443" s="178"/>
      <c r="I443" s="178">
        <v>1</v>
      </c>
      <c r="J443" s="215">
        <f t="shared" si="14"/>
        <v>0</v>
      </c>
    </row>
    <row r="444" spans="1:10">
      <c r="A444" s="176"/>
      <c r="B444" s="178"/>
      <c r="C444" s="178" t="s">
        <v>72</v>
      </c>
      <c r="D444" s="178" t="s">
        <v>73</v>
      </c>
      <c r="E444" s="178" t="s">
        <v>73</v>
      </c>
      <c r="F444" s="178" t="s">
        <v>74</v>
      </c>
      <c r="G444" s="178"/>
      <c r="H444" s="178"/>
      <c r="I444" s="178">
        <v>2</v>
      </c>
      <c r="J444" s="215">
        <f t="shared" si="14"/>
        <v>0</v>
      </c>
    </row>
    <row r="445" ht="14.25" spans="1:10">
      <c r="A445" s="224" t="s">
        <v>414</v>
      </c>
      <c r="B445" s="225"/>
      <c r="C445" s="225"/>
      <c r="D445" s="225"/>
      <c r="E445" s="225"/>
      <c r="F445" s="225"/>
      <c r="G445" s="225"/>
      <c r="H445" s="225"/>
      <c r="I445" s="225"/>
      <c r="J445" s="226">
        <f>SUM(J422:J444)</f>
        <v>0</v>
      </c>
    </row>
    <row r="447" spans="1:10">
      <c r="A447" s="63" t="s">
        <v>17</v>
      </c>
      <c r="B447" s="64" t="s">
        <v>18</v>
      </c>
      <c r="C447" s="64" t="s">
        <v>105</v>
      </c>
      <c r="D447" s="64" t="s">
        <v>45</v>
      </c>
      <c r="E447" s="64" t="s">
        <v>21</v>
      </c>
      <c r="F447" s="206" t="s">
        <v>106</v>
      </c>
      <c r="G447" s="208"/>
      <c r="H447" s="208" t="s">
        <v>23</v>
      </c>
      <c r="I447" s="196" t="s">
        <v>107</v>
      </c>
      <c r="J447" s="50" t="s">
        <v>26</v>
      </c>
    </row>
    <row r="448" ht="14.25" spans="1:10">
      <c r="A448" s="63"/>
      <c r="B448" s="64"/>
      <c r="C448" s="64"/>
      <c r="D448" s="64"/>
      <c r="E448" s="64"/>
      <c r="F448" s="49"/>
      <c r="G448" s="210"/>
      <c r="H448" s="210"/>
      <c r="I448" s="6"/>
      <c r="J448" s="50"/>
    </row>
    <row r="449" spans="1:10">
      <c r="A449" s="171" t="s">
        <v>108</v>
      </c>
      <c r="B449" s="211" t="s">
        <v>415</v>
      </c>
      <c r="C449" s="173" t="s">
        <v>110</v>
      </c>
      <c r="D449" s="173" t="s">
        <v>32</v>
      </c>
      <c r="E449" s="173" t="s">
        <v>111</v>
      </c>
      <c r="F449" s="173" t="s">
        <v>416</v>
      </c>
      <c r="G449" s="173"/>
      <c r="H449" s="173"/>
      <c r="I449" s="201">
        <v>0.7242</v>
      </c>
      <c r="J449" s="214">
        <f t="shared" ref="J449:J485" si="15">H449*I449</f>
        <v>0</v>
      </c>
    </row>
    <row r="450" spans="1:10">
      <c r="A450" s="176"/>
      <c r="B450" s="178"/>
      <c r="C450" s="178" t="s">
        <v>131</v>
      </c>
      <c r="D450" s="178" t="s">
        <v>32</v>
      </c>
      <c r="E450" s="178" t="s">
        <v>111</v>
      </c>
      <c r="F450" s="178" t="s">
        <v>417</v>
      </c>
      <c r="G450" s="178"/>
      <c r="H450" s="178"/>
      <c r="I450" s="203">
        <v>0.2455</v>
      </c>
      <c r="J450" s="215">
        <f t="shared" si="15"/>
        <v>0</v>
      </c>
    </row>
    <row r="451" spans="1:10">
      <c r="A451" s="176"/>
      <c r="B451" s="178"/>
      <c r="C451" s="178" t="s">
        <v>110</v>
      </c>
      <c r="D451" s="178" t="s">
        <v>32</v>
      </c>
      <c r="E451" s="178" t="s">
        <v>115</v>
      </c>
      <c r="F451" s="178" t="s">
        <v>418</v>
      </c>
      <c r="G451" s="178"/>
      <c r="H451" s="178"/>
      <c r="I451" s="203">
        <v>0.7095</v>
      </c>
      <c r="J451" s="215">
        <f t="shared" si="15"/>
        <v>0</v>
      </c>
    </row>
    <row r="452" spans="1:10">
      <c r="A452" s="176"/>
      <c r="B452" s="178"/>
      <c r="C452" s="178" t="s">
        <v>199</v>
      </c>
      <c r="D452" s="178" t="s">
        <v>32</v>
      </c>
      <c r="E452" s="178" t="s">
        <v>115</v>
      </c>
      <c r="F452" s="178" t="s">
        <v>419</v>
      </c>
      <c r="G452" s="178"/>
      <c r="H452" s="178"/>
      <c r="I452" s="203">
        <v>0.048</v>
      </c>
      <c r="J452" s="215">
        <f t="shared" si="15"/>
        <v>0</v>
      </c>
    </row>
    <row r="453" spans="1:10">
      <c r="A453" s="176"/>
      <c r="B453" s="178"/>
      <c r="C453" s="178" t="s">
        <v>117</v>
      </c>
      <c r="D453" s="178" t="s">
        <v>32</v>
      </c>
      <c r="E453" s="178" t="s">
        <v>115</v>
      </c>
      <c r="F453" s="178" t="s">
        <v>420</v>
      </c>
      <c r="G453" s="178"/>
      <c r="H453" s="178"/>
      <c r="I453" s="203">
        <v>0.118</v>
      </c>
      <c r="J453" s="215">
        <f t="shared" si="15"/>
        <v>0</v>
      </c>
    </row>
    <row r="454" spans="1:10">
      <c r="A454" s="176"/>
      <c r="B454" s="178"/>
      <c r="C454" s="178" t="s">
        <v>114</v>
      </c>
      <c r="D454" s="178" t="s">
        <v>32</v>
      </c>
      <c r="E454" s="178" t="s">
        <v>115</v>
      </c>
      <c r="F454" s="178" t="s">
        <v>421</v>
      </c>
      <c r="G454" s="178"/>
      <c r="H454" s="178"/>
      <c r="I454" s="203">
        <v>0.5387</v>
      </c>
      <c r="J454" s="215">
        <f t="shared" si="15"/>
        <v>0</v>
      </c>
    </row>
    <row r="455" spans="1:10">
      <c r="A455" s="176"/>
      <c r="B455" s="178"/>
      <c r="C455" s="178" t="s">
        <v>129</v>
      </c>
      <c r="D455" s="178" t="s">
        <v>32</v>
      </c>
      <c r="E455" s="178" t="s">
        <v>115</v>
      </c>
      <c r="F455" s="178" t="s">
        <v>422</v>
      </c>
      <c r="G455" s="178"/>
      <c r="H455" s="178"/>
      <c r="I455" s="203">
        <v>0.348</v>
      </c>
      <c r="J455" s="215">
        <f t="shared" si="15"/>
        <v>0</v>
      </c>
    </row>
    <row r="456" spans="1:10">
      <c r="A456" s="176"/>
      <c r="B456" s="178"/>
      <c r="C456" s="178" t="s">
        <v>129</v>
      </c>
      <c r="D456" s="178" t="s">
        <v>32</v>
      </c>
      <c r="E456" s="178" t="s">
        <v>115</v>
      </c>
      <c r="F456" s="178" t="s">
        <v>420</v>
      </c>
      <c r="G456" s="178"/>
      <c r="H456" s="178"/>
      <c r="I456" s="203">
        <v>0.118</v>
      </c>
      <c r="J456" s="215">
        <f t="shared" si="15"/>
        <v>0</v>
      </c>
    </row>
    <row r="457" spans="1:10">
      <c r="A457" s="176"/>
      <c r="B457" s="178"/>
      <c r="C457" s="178" t="s">
        <v>114</v>
      </c>
      <c r="D457" s="178" t="s">
        <v>32</v>
      </c>
      <c r="E457" s="178" t="s">
        <v>115</v>
      </c>
      <c r="F457" s="178" t="s">
        <v>423</v>
      </c>
      <c r="G457" s="178"/>
      <c r="H457" s="178"/>
      <c r="I457" s="203">
        <v>0.1993</v>
      </c>
      <c r="J457" s="215">
        <f t="shared" si="15"/>
        <v>0</v>
      </c>
    </row>
    <row r="458" spans="1:10">
      <c r="A458" s="176"/>
      <c r="B458" s="178"/>
      <c r="C458" s="178" t="s">
        <v>114</v>
      </c>
      <c r="D458" s="178" t="s">
        <v>32</v>
      </c>
      <c r="E458" s="178" t="s">
        <v>115</v>
      </c>
      <c r="F458" s="178" t="s">
        <v>424</v>
      </c>
      <c r="G458" s="178"/>
      <c r="H458" s="178"/>
      <c r="I458" s="203">
        <v>0.1997</v>
      </c>
      <c r="J458" s="215">
        <f t="shared" si="15"/>
        <v>0</v>
      </c>
    </row>
    <row r="459" spans="1:10">
      <c r="A459" s="176"/>
      <c r="B459" s="178"/>
      <c r="C459" s="178" t="s">
        <v>221</v>
      </c>
      <c r="D459" s="178" t="s">
        <v>32</v>
      </c>
      <c r="E459" s="178" t="s">
        <v>115</v>
      </c>
      <c r="F459" s="178" t="s">
        <v>425</v>
      </c>
      <c r="G459" s="178"/>
      <c r="H459" s="178"/>
      <c r="I459" s="203">
        <v>0.7042</v>
      </c>
      <c r="J459" s="215">
        <f t="shared" si="15"/>
        <v>0</v>
      </c>
    </row>
    <row r="460" spans="1:10">
      <c r="A460" s="176"/>
      <c r="B460" s="178"/>
      <c r="C460" s="178" t="s">
        <v>117</v>
      </c>
      <c r="D460" s="178" t="s">
        <v>32</v>
      </c>
      <c r="E460" s="178" t="s">
        <v>115</v>
      </c>
      <c r="F460" s="178" t="s">
        <v>426</v>
      </c>
      <c r="G460" s="178"/>
      <c r="H460" s="178"/>
      <c r="I460" s="203">
        <v>0.5848</v>
      </c>
      <c r="J460" s="215">
        <f t="shared" si="15"/>
        <v>0</v>
      </c>
    </row>
    <row r="461" spans="1:10">
      <c r="A461" s="176"/>
      <c r="B461" s="178"/>
      <c r="C461" s="178" t="s">
        <v>114</v>
      </c>
      <c r="D461" s="178" t="s">
        <v>32</v>
      </c>
      <c r="E461" s="178" t="s">
        <v>115</v>
      </c>
      <c r="F461" s="178" t="s">
        <v>427</v>
      </c>
      <c r="G461" s="178"/>
      <c r="H461" s="178"/>
      <c r="I461" s="203">
        <v>1.3756</v>
      </c>
      <c r="J461" s="215">
        <f t="shared" si="15"/>
        <v>0</v>
      </c>
    </row>
    <row r="462" spans="1:10">
      <c r="A462" s="176"/>
      <c r="B462" s="178"/>
      <c r="C462" s="178" t="s">
        <v>114</v>
      </c>
      <c r="D462" s="178" t="s">
        <v>32</v>
      </c>
      <c r="E462" s="178" t="s">
        <v>115</v>
      </c>
      <c r="F462" s="178" t="s">
        <v>428</v>
      </c>
      <c r="G462" s="178"/>
      <c r="H462" s="178"/>
      <c r="I462" s="203">
        <v>1.377</v>
      </c>
      <c r="J462" s="215">
        <f t="shared" si="15"/>
        <v>0</v>
      </c>
    </row>
    <row r="463" spans="1:10">
      <c r="A463" s="176"/>
      <c r="B463" s="178"/>
      <c r="C463" s="178" t="s">
        <v>129</v>
      </c>
      <c r="D463" s="178" t="s">
        <v>32</v>
      </c>
      <c r="E463" s="178" t="s">
        <v>115</v>
      </c>
      <c r="F463" s="178" t="s">
        <v>429</v>
      </c>
      <c r="G463" s="178"/>
      <c r="H463" s="178"/>
      <c r="I463" s="203">
        <v>0.5809</v>
      </c>
      <c r="J463" s="215">
        <f t="shared" si="15"/>
        <v>0</v>
      </c>
    </row>
    <row r="464" spans="1:10">
      <c r="A464" s="176"/>
      <c r="B464" s="178"/>
      <c r="C464" s="178" t="s">
        <v>114</v>
      </c>
      <c r="D464" s="178" t="s">
        <v>32</v>
      </c>
      <c r="E464" s="178" t="s">
        <v>115</v>
      </c>
      <c r="F464" s="178" t="s">
        <v>430</v>
      </c>
      <c r="G464" s="178"/>
      <c r="H464" s="178"/>
      <c r="I464" s="203">
        <v>0.6324</v>
      </c>
      <c r="J464" s="215">
        <f t="shared" si="15"/>
        <v>0</v>
      </c>
    </row>
    <row r="465" spans="1:10">
      <c r="A465" s="176"/>
      <c r="B465" s="178"/>
      <c r="C465" s="178" t="s">
        <v>129</v>
      </c>
      <c r="D465" s="178" t="s">
        <v>32</v>
      </c>
      <c r="E465" s="178" t="s">
        <v>115</v>
      </c>
      <c r="F465" s="178" t="s">
        <v>431</v>
      </c>
      <c r="G465" s="178"/>
      <c r="H465" s="178"/>
      <c r="I465" s="203">
        <v>0.5655</v>
      </c>
      <c r="J465" s="215">
        <f t="shared" si="15"/>
        <v>0</v>
      </c>
    </row>
    <row r="466" spans="1:10">
      <c r="A466" s="176"/>
      <c r="B466" s="178"/>
      <c r="C466" s="178" t="s">
        <v>114</v>
      </c>
      <c r="D466" s="178" t="s">
        <v>32</v>
      </c>
      <c r="E466" s="178" t="s">
        <v>115</v>
      </c>
      <c r="F466" s="178" t="s">
        <v>432</v>
      </c>
      <c r="G466" s="178"/>
      <c r="H466" s="178"/>
      <c r="I466" s="203">
        <v>0.3182</v>
      </c>
      <c r="J466" s="215">
        <f t="shared" si="15"/>
        <v>0</v>
      </c>
    </row>
    <row r="467" spans="1:10">
      <c r="A467" s="176"/>
      <c r="B467" s="178"/>
      <c r="C467" s="178" t="s">
        <v>221</v>
      </c>
      <c r="D467" s="178" t="s">
        <v>32</v>
      </c>
      <c r="E467" s="178" t="s">
        <v>115</v>
      </c>
      <c r="F467" s="178" t="s">
        <v>433</v>
      </c>
      <c r="G467" s="178"/>
      <c r="H467" s="178"/>
      <c r="I467" s="203">
        <v>0.2864</v>
      </c>
      <c r="J467" s="215">
        <f t="shared" si="15"/>
        <v>0</v>
      </c>
    </row>
    <row r="468" spans="1:10">
      <c r="A468" s="176"/>
      <c r="B468" s="178"/>
      <c r="C468" s="178" t="s">
        <v>114</v>
      </c>
      <c r="D468" s="178" t="s">
        <v>32</v>
      </c>
      <c r="E468" s="178" t="s">
        <v>115</v>
      </c>
      <c r="F468" s="178" t="s">
        <v>434</v>
      </c>
      <c r="G468" s="178"/>
      <c r="H468" s="178"/>
      <c r="I468" s="203">
        <v>0.633</v>
      </c>
      <c r="J468" s="215">
        <f t="shared" si="15"/>
        <v>0</v>
      </c>
    </row>
    <row r="469" spans="1:10">
      <c r="A469" s="176"/>
      <c r="B469" s="178"/>
      <c r="C469" s="178" t="s">
        <v>129</v>
      </c>
      <c r="D469" s="178" t="s">
        <v>32</v>
      </c>
      <c r="E469" s="178" t="s">
        <v>115</v>
      </c>
      <c r="F469" s="178" t="s">
        <v>435</v>
      </c>
      <c r="G469" s="178"/>
      <c r="H469" s="178"/>
      <c r="I469" s="203">
        <v>0.5661</v>
      </c>
      <c r="J469" s="215">
        <f t="shared" si="15"/>
        <v>0</v>
      </c>
    </row>
    <row r="470" spans="1:10">
      <c r="A470" s="176"/>
      <c r="B470" s="178"/>
      <c r="C470" s="178" t="s">
        <v>114</v>
      </c>
      <c r="D470" s="178" t="s">
        <v>32</v>
      </c>
      <c r="E470" s="178" t="s">
        <v>115</v>
      </c>
      <c r="F470" s="178" t="s">
        <v>436</v>
      </c>
      <c r="G470" s="178"/>
      <c r="H470" s="178"/>
      <c r="I470" s="203">
        <v>0.3185</v>
      </c>
      <c r="J470" s="215">
        <f t="shared" si="15"/>
        <v>0</v>
      </c>
    </row>
    <row r="471" spans="1:10">
      <c r="A471" s="176"/>
      <c r="B471" s="178"/>
      <c r="C471" s="178" t="s">
        <v>142</v>
      </c>
      <c r="D471" s="178" t="s">
        <v>32</v>
      </c>
      <c r="E471" s="178" t="s">
        <v>115</v>
      </c>
      <c r="F471" s="178" t="s">
        <v>425</v>
      </c>
      <c r="G471" s="178"/>
      <c r="H471" s="178"/>
      <c r="I471" s="203">
        <v>0.7042</v>
      </c>
      <c r="J471" s="215">
        <f t="shared" si="15"/>
        <v>0</v>
      </c>
    </row>
    <row r="472" spans="1:10">
      <c r="A472" s="176"/>
      <c r="B472" s="178"/>
      <c r="C472" s="178" t="s">
        <v>223</v>
      </c>
      <c r="D472" s="178" t="s">
        <v>32</v>
      </c>
      <c r="E472" s="178" t="s">
        <v>115</v>
      </c>
      <c r="F472" s="178" t="s">
        <v>418</v>
      </c>
      <c r="G472" s="178"/>
      <c r="H472" s="178"/>
      <c r="I472" s="203">
        <v>0.7095</v>
      </c>
      <c r="J472" s="215">
        <f t="shared" si="15"/>
        <v>0</v>
      </c>
    </row>
    <row r="473" spans="1:10">
      <c r="A473" s="176"/>
      <c r="B473" s="178"/>
      <c r="C473" s="178" t="s">
        <v>145</v>
      </c>
      <c r="D473" s="178" t="s">
        <v>32</v>
      </c>
      <c r="E473" s="178" t="s">
        <v>115</v>
      </c>
      <c r="F473" s="178" t="s">
        <v>437</v>
      </c>
      <c r="G473" s="178"/>
      <c r="H473" s="178"/>
      <c r="I473" s="203">
        <v>0.1244</v>
      </c>
      <c r="J473" s="215">
        <f t="shared" si="15"/>
        <v>0</v>
      </c>
    </row>
    <row r="474" spans="1:10">
      <c r="A474" s="176"/>
      <c r="B474" s="178"/>
      <c r="C474" s="178" t="s">
        <v>146</v>
      </c>
      <c r="D474" s="178" t="s">
        <v>32</v>
      </c>
      <c r="E474" s="178" t="s">
        <v>115</v>
      </c>
      <c r="F474" s="178" t="s">
        <v>438</v>
      </c>
      <c r="G474" s="178"/>
      <c r="H474" s="178"/>
      <c r="I474" s="203">
        <v>0.199</v>
      </c>
      <c r="J474" s="215">
        <f t="shared" si="15"/>
        <v>0</v>
      </c>
    </row>
    <row r="475" spans="1:10">
      <c r="A475" s="176"/>
      <c r="B475" s="178"/>
      <c r="C475" s="178" t="s">
        <v>31</v>
      </c>
      <c r="D475" s="178" t="s">
        <v>32</v>
      </c>
      <c r="E475" s="178" t="s">
        <v>111</v>
      </c>
      <c r="F475" s="178" t="s">
        <v>439</v>
      </c>
      <c r="G475" s="178"/>
      <c r="H475" s="178"/>
      <c r="I475" s="203">
        <v>1.0127</v>
      </c>
      <c r="J475" s="215">
        <f t="shared" si="15"/>
        <v>0</v>
      </c>
    </row>
    <row r="476" spans="1:10">
      <c r="A476" s="176"/>
      <c r="B476" s="178"/>
      <c r="C476" s="178" t="s">
        <v>35</v>
      </c>
      <c r="D476" s="178" t="s">
        <v>32</v>
      </c>
      <c r="E476" s="178" t="s">
        <v>111</v>
      </c>
      <c r="F476" s="178" t="s">
        <v>439</v>
      </c>
      <c r="G476" s="178"/>
      <c r="H476" s="178"/>
      <c r="I476" s="203">
        <v>1.0127</v>
      </c>
      <c r="J476" s="215">
        <f t="shared" si="15"/>
        <v>0</v>
      </c>
    </row>
    <row r="477" spans="1:10">
      <c r="A477" s="176"/>
      <c r="B477" s="178"/>
      <c r="C477" s="178" t="s">
        <v>31</v>
      </c>
      <c r="D477" s="178" t="s">
        <v>32</v>
      </c>
      <c r="E477" s="178" t="s">
        <v>111</v>
      </c>
      <c r="F477" s="178" t="s">
        <v>440</v>
      </c>
      <c r="G477" s="178"/>
      <c r="H477" s="178"/>
      <c r="I477" s="203">
        <v>0.4482</v>
      </c>
      <c r="J477" s="215">
        <f t="shared" si="15"/>
        <v>0</v>
      </c>
    </row>
    <row r="478" spans="1:10">
      <c r="A478" s="176"/>
      <c r="B478" s="178"/>
      <c r="C478" s="178" t="s">
        <v>31</v>
      </c>
      <c r="D478" s="178" t="s">
        <v>32</v>
      </c>
      <c r="E478" s="178" t="s">
        <v>111</v>
      </c>
      <c r="F478" s="178" t="s">
        <v>441</v>
      </c>
      <c r="G478" s="178"/>
      <c r="H478" s="178"/>
      <c r="I478" s="203">
        <v>0.5993</v>
      </c>
      <c r="J478" s="215">
        <f t="shared" si="15"/>
        <v>0</v>
      </c>
    </row>
    <row r="479" spans="1:10">
      <c r="A479" s="176"/>
      <c r="B479" s="178"/>
      <c r="C479" s="178" t="s">
        <v>31</v>
      </c>
      <c r="D479" s="178" t="s">
        <v>32</v>
      </c>
      <c r="E479" s="178" t="s">
        <v>111</v>
      </c>
      <c r="F479" s="178" t="s">
        <v>442</v>
      </c>
      <c r="G479" s="178"/>
      <c r="H479" s="178"/>
      <c r="I479" s="203">
        <v>1.3542</v>
      </c>
      <c r="J479" s="215">
        <f t="shared" si="15"/>
        <v>0</v>
      </c>
    </row>
    <row r="480" spans="1:10">
      <c r="A480" s="176"/>
      <c r="B480" s="178"/>
      <c r="C480" s="178" t="s">
        <v>35</v>
      </c>
      <c r="D480" s="178" t="s">
        <v>32</v>
      </c>
      <c r="E480" s="178" t="s">
        <v>111</v>
      </c>
      <c r="F480" s="178" t="s">
        <v>442</v>
      </c>
      <c r="G480" s="178"/>
      <c r="H480" s="178"/>
      <c r="I480" s="203">
        <v>1.3542</v>
      </c>
      <c r="J480" s="215">
        <f t="shared" si="15"/>
        <v>0</v>
      </c>
    </row>
    <row r="481" spans="1:10">
      <c r="A481" s="176"/>
      <c r="B481" s="178"/>
      <c r="C481" s="178" t="s">
        <v>47</v>
      </c>
      <c r="D481" s="178" t="s">
        <v>48</v>
      </c>
      <c r="E481" s="178" t="s">
        <v>48</v>
      </c>
      <c r="F481" s="178" t="s">
        <v>49</v>
      </c>
      <c r="G481" s="178"/>
      <c r="H481" s="178"/>
      <c r="I481" s="178">
        <v>103</v>
      </c>
      <c r="J481" s="215">
        <f t="shared" si="15"/>
        <v>0</v>
      </c>
    </row>
    <row r="482" spans="1:10">
      <c r="A482" s="176"/>
      <c r="B482" s="178"/>
      <c r="C482" s="178" t="s">
        <v>55</v>
      </c>
      <c r="D482" s="178" t="s">
        <v>56</v>
      </c>
      <c r="E482" s="178" t="s">
        <v>56</v>
      </c>
      <c r="F482" s="178" t="s">
        <v>65</v>
      </c>
      <c r="G482" s="178"/>
      <c r="H482" s="178"/>
      <c r="I482" s="178">
        <v>10</v>
      </c>
      <c r="J482" s="215">
        <f t="shared" si="15"/>
        <v>0</v>
      </c>
    </row>
    <row r="483" spans="1:10">
      <c r="A483" s="176"/>
      <c r="B483" s="178"/>
      <c r="C483" s="178" t="s">
        <v>151</v>
      </c>
      <c r="D483" s="178" t="s">
        <v>56</v>
      </c>
      <c r="E483" s="178" t="s">
        <v>56</v>
      </c>
      <c r="F483" s="178" t="s">
        <v>152</v>
      </c>
      <c r="G483" s="178"/>
      <c r="H483" s="178"/>
      <c r="I483" s="178">
        <v>10</v>
      </c>
      <c r="J483" s="215">
        <f t="shared" si="15"/>
        <v>0</v>
      </c>
    </row>
    <row r="484" spans="1:10">
      <c r="A484" s="176"/>
      <c r="B484" s="178"/>
      <c r="C484" s="178" t="s">
        <v>55</v>
      </c>
      <c r="D484" s="178" t="s">
        <v>56</v>
      </c>
      <c r="E484" s="178" t="s">
        <v>56</v>
      </c>
      <c r="F484" s="178" t="s">
        <v>62</v>
      </c>
      <c r="G484" s="178"/>
      <c r="H484" s="178"/>
      <c r="I484" s="178">
        <v>10</v>
      </c>
      <c r="J484" s="215">
        <f t="shared" si="15"/>
        <v>0</v>
      </c>
    </row>
    <row r="485" spans="1:10">
      <c r="A485" s="176"/>
      <c r="B485" s="178"/>
      <c r="C485" s="178" t="s">
        <v>55</v>
      </c>
      <c r="D485" s="178" t="s">
        <v>56</v>
      </c>
      <c r="E485" s="178" t="s">
        <v>56</v>
      </c>
      <c r="F485" s="178" t="s">
        <v>57</v>
      </c>
      <c r="G485" s="178"/>
      <c r="H485" s="178"/>
      <c r="I485" s="178">
        <v>5</v>
      </c>
      <c r="J485" s="215">
        <f t="shared" si="15"/>
        <v>0</v>
      </c>
    </row>
    <row r="486" ht="14.25" spans="1:10">
      <c r="A486" s="224" t="s">
        <v>443</v>
      </c>
      <c r="B486" s="225"/>
      <c r="C486" s="225"/>
      <c r="D486" s="225"/>
      <c r="E486" s="225"/>
      <c r="F486" s="225"/>
      <c r="G486" s="225"/>
      <c r="H486" s="225"/>
      <c r="I486" s="225"/>
      <c r="J486" s="226">
        <f>SUM(J449:J485)</f>
        <v>0</v>
      </c>
    </row>
    <row r="488" spans="1:10">
      <c r="A488" s="63" t="s">
        <v>17</v>
      </c>
      <c r="B488" s="64" t="s">
        <v>18</v>
      </c>
      <c r="C488" s="64" t="s">
        <v>105</v>
      </c>
      <c r="D488" s="64" t="s">
        <v>45</v>
      </c>
      <c r="E488" s="64" t="s">
        <v>21</v>
      </c>
      <c r="F488" s="206" t="s">
        <v>106</v>
      </c>
      <c r="G488" s="208"/>
      <c r="H488" s="208" t="s">
        <v>23</v>
      </c>
      <c r="I488" s="196" t="s">
        <v>107</v>
      </c>
      <c r="J488" s="50" t="s">
        <v>26</v>
      </c>
    </row>
    <row r="489" ht="14.25" spans="1:10">
      <c r="A489" s="63"/>
      <c r="B489" s="64"/>
      <c r="C489" s="64"/>
      <c r="D489" s="64"/>
      <c r="E489" s="64"/>
      <c r="F489" s="49"/>
      <c r="G489" s="210"/>
      <c r="H489" s="210"/>
      <c r="I489" s="6"/>
      <c r="J489" s="50"/>
    </row>
    <row r="490" spans="1:10">
      <c r="A490" s="171" t="s">
        <v>108</v>
      </c>
      <c r="B490" s="211" t="s">
        <v>444</v>
      </c>
      <c r="C490" s="173" t="s">
        <v>131</v>
      </c>
      <c r="D490" s="173" t="s">
        <v>32</v>
      </c>
      <c r="E490" s="173" t="s">
        <v>111</v>
      </c>
      <c r="F490" s="173" t="s">
        <v>445</v>
      </c>
      <c r="G490" s="173"/>
      <c r="H490" s="173"/>
      <c r="I490" s="201">
        <v>0.1148</v>
      </c>
      <c r="J490" s="214">
        <f t="shared" ref="J490:J525" si="16">H490*I490</f>
        <v>0</v>
      </c>
    </row>
    <row r="491" spans="1:10">
      <c r="A491" s="176"/>
      <c r="B491" s="178"/>
      <c r="C491" s="178" t="s">
        <v>110</v>
      </c>
      <c r="D491" s="178" t="s">
        <v>32</v>
      </c>
      <c r="E491" s="178" t="s">
        <v>115</v>
      </c>
      <c r="F491" s="178" t="s">
        <v>446</v>
      </c>
      <c r="G491" s="178"/>
      <c r="H491" s="178"/>
      <c r="I491" s="203">
        <v>1.2164</v>
      </c>
      <c r="J491" s="215">
        <f t="shared" si="16"/>
        <v>0</v>
      </c>
    </row>
    <row r="492" spans="1:10">
      <c r="A492" s="176"/>
      <c r="B492" s="178"/>
      <c r="C492" s="178" t="s">
        <v>199</v>
      </c>
      <c r="D492" s="178" t="s">
        <v>32</v>
      </c>
      <c r="E492" s="178" t="s">
        <v>115</v>
      </c>
      <c r="F492" s="178" t="s">
        <v>447</v>
      </c>
      <c r="G492" s="178"/>
      <c r="H492" s="178"/>
      <c r="I492" s="203">
        <v>0.1823</v>
      </c>
      <c r="J492" s="215">
        <f t="shared" si="16"/>
        <v>0</v>
      </c>
    </row>
    <row r="493" spans="1:10">
      <c r="A493" s="176"/>
      <c r="B493" s="178"/>
      <c r="C493" s="178" t="s">
        <v>327</v>
      </c>
      <c r="D493" s="178" t="s">
        <v>32</v>
      </c>
      <c r="E493" s="178" t="s">
        <v>115</v>
      </c>
      <c r="F493" s="178" t="s">
        <v>448</v>
      </c>
      <c r="G493" s="178"/>
      <c r="H493" s="178"/>
      <c r="I493" s="203">
        <v>0.0569</v>
      </c>
      <c r="J493" s="215">
        <f t="shared" si="16"/>
        <v>0</v>
      </c>
    </row>
    <row r="494" spans="1:10">
      <c r="A494" s="176"/>
      <c r="B494" s="178"/>
      <c r="C494" s="178" t="s">
        <v>117</v>
      </c>
      <c r="D494" s="178" t="s">
        <v>32</v>
      </c>
      <c r="E494" s="178" t="s">
        <v>115</v>
      </c>
      <c r="F494" s="178" t="s">
        <v>449</v>
      </c>
      <c r="G494" s="178"/>
      <c r="H494" s="178"/>
      <c r="I494" s="203">
        <v>0.8051</v>
      </c>
      <c r="J494" s="215">
        <f t="shared" si="16"/>
        <v>0</v>
      </c>
    </row>
    <row r="495" spans="1:10">
      <c r="A495" s="176"/>
      <c r="B495" s="178"/>
      <c r="C495" s="178" t="s">
        <v>110</v>
      </c>
      <c r="D495" s="178" t="s">
        <v>32</v>
      </c>
      <c r="E495" s="178" t="s">
        <v>115</v>
      </c>
      <c r="F495" s="178" t="s">
        <v>450</v>
      </c>
      <c r="G495" s="178"/>
      <c r="H495" s="178"/>
      <c r="I495" s="203">
        <v>0.1516</v>
      </c>
      <c r="J495" s="215">
        <f t="shared" si="16"/>
        <v>0</v>
      </c>
    </row>
    <row r="496" spans="1:10">
      <c r="A496" s="176"/>
      <c r="B496" s="178"/>
      <c r="C496" s="178" t="s">
        <v>375</v>
      </c>
      <c r="D496" s="178" t="s">
        <v>32</v>
      </c>
      <c r="E496" s="178" t="s">
        <v>115</v>
      </c>
      <c r="F496" s="178" t="s">
        <v>451</v>
      </c>
      <c r="G496" s="178"/>
      <c r="H496" s="178"/>
      <c r="I496" s="203">
        <v>0.0733</v>
      </c>
      <c r="J496" s="215">
        <f t="shared" si="16"/>
        <v>0</v>
      </c>
    </row>
    <row r="497" spans="1:10">
      <c r="A497" s="176"/>
      <c r="B497" s="178"/>
      <c r="C497" s="178" t="s">
        <v>123</v>
      </c>
      <c r="D497" s="178" t="s">
        <v>32</v>
      </c>
      <c r="E497" s="178" t="s">
        <v>115</v>
      </c>
      <c r="F497" s="178" t="s">
        <v>452</v>
      </c>
      <c r="G497" s="178"/>
      <c r="H497" s="178"/>
      <c r="I497" s="203">
        <v>0.0548</v>
      </c>
      <c r="J497" s="215">
        <f t="shared" si="16"/>
        <v>0</v>
      </c>
    </row>
    <row r="498" spans="1:10">
      <c r="A498" s="176"/>
      <c r="B498" s="178"/>
      <c r="C498" s="178" t="s">
        <v>124</v>
      </c>
      <c r="D498" s="178" t="s">
        <v>32</v>
      </c>
      <c r="E498" s="178" t="s">
        <v>115</v>
      </c>
      <c r="F498" s="178" t="s">
        <v>453</v>
      </c>
      <c r="G498" s="178"/>
      <c r="H498" s="178"/>
      <c r="I498" s="203">
        <v>0.06</v>
      </c>
      <c r="J498" s="215">
        <f t="shared" si="16"/>
        <v>0</v>
      </c>
    </row>
    <row r="499" spans="1:10">
      <c r="A499" s="176"/>
      <c r="B499" s="178"/>
      <c r="C499" s="178" t="s">
        <v>126</v>
      </c>
      <c r="D499" s="178" t="s">
        <v>32</v>
      </c>
      <c r="E499" s="178" t="s">
        <v>115</v>
      </c>
      <c r="F499" s="178" t="s">
        <v>453</v>
      </c>
      <c r="G499" s="178"/>
      <c r="H499" s="178"/>
      <c r="I499" s="203">
        <v>0.06</v>
      </c>
      <c r="J499" s="215">
        <f t="shared" si="16"/>
        <v>0</v>
      </c>
    </row>
    <row r="500" spans="1:10">
      <c r="A500" s="176"/>
      <c r="B500" s="178"/>
      <c r="C500" s="178" t="s">
        <v>127</v>
      </c>
      <c r="D500" s="178" t="s">
        <v>32</v>
      </c>
      <c r="E500" s="178" t="s">
        <v>115</v>
      </c>
      <c r="F500" s="178" t="s">
        <v>454</v>
      </c>
      <c r="G500" s="178"/>
      <c r="H500" s="178"/>
      <c r="I500" s="203">
        <v>0.147</v>
      </c>
      <c r="J500" s="215">
        <f t="shared" si="16"/>
        <v>0</v>
      </c>
    </row>
    <row r="501" spans="1:10">
      <c r="A501" s="176"/>
      <c r="B501" s="178"/>
      <c r="C501" s="178" t="s">
        <v>114</v>
      </c>
      <c r="D501" s="178" t="s">
        <v>32</v>
      </c>
      <c r="E501" s="178" t="s">
        <v>115</v>
      </c>
      <c r="F501" s="178" t="s">
        <v>455</v>
      </c>
      <c r="G501" s="178"/>
      <c r="H501" s="178"/>
      <c r="I501" s="203">
        <v>0.3633</v>
      </c>
      <c r="J501" s="215">
        <f t="shared" si="16"/>
        <v>0</v>
      </c>
    </row>
    <row r="502" spans="1:10">
      <c r="A502" s="176"/>
      <c r="B502" s="178"/>
      <c r="C502" s="178" t="s">
        <v>129</v>
      </c>
      <c r="D502" s="178" t="s">
        <v>32</v>
      </c>
      <c r="E502" s="178" t="s">
        <v>115</v>
      </c>
      <c r="F502" s="178" t="s">
        <v>456</v>
      </c>
      <c r="G502" s="178"/>
      <c r="H502" s="178"/>
      <c r="I502" s="203">
        <v>0.2084</v>
      </c>
      <c r="J502" s="215">
        <f t="shared" si="16"/>
        <v>0</v>
      </c>
    </row>
    <row r="503" spans="1:10">
      <c r="A503" s="176"/>
      <c r="B503" s="178"/>
      <c r="C503" s="178" t="s">
        <v>114</v>
      </c>
      <c r="D503" s="178" t="s">
        <v>32</v>
      </c>
      <c r="E503" s="178" t="s">
        <v>115</v>
      </c>
      <c r="F503" s="178" t="s">
        <v>457</v>
      </c>
      <c r="G503" s="178"/>
      <c r="H503" s="178"/>
      <c r="I503" s="203">
        <v>0.4328</v>
      </c>
      <c r="J503" s="215">
        <f t="shared" si="16"/>
        <v>0</v>
      </c>
    </row>
    <row r="504" spans="1:10">
      <c r="A504" s="176"/>
      <c r="B504" s="178"/>
      <c r="C504" s="178" t="s">
        <v>129</v>
      </c>
      <c r="D504" s="178" t="s">
        <v>32</v>
      </c>
      <c r="E504" s="178" t="s">
        <v>115</v>
      </c>
      <c r="F504" s="178" t="s">
        <v>458</v>
      </c>
      <c r="G504" s="178"/>
      <c r="H504" s="178"/>
      <c r="I504" s="203">
        <v>0.2431</v>
      </c>
      <c r="J504" s="215">
        <f t="shared" si="16"/>
        <v>0</v>
      </c>
    </row>
    <row r="505" spans="1:10">
      <c r="A505" s="176"/>
      <c r="B505" s="178"/>
      <c r="C505" s="178" t="s">
        <v>114</v>
      </c>
      <c r="D505" s="178" t="s">
        <v>32</v>
      </c>
      <c r="E505" s="178" t="s">
        <v>115</v>
      </c>
      <c r="F505" s="178" t="s">
        <v>459</v>
      </c>
      <c r="G505" s="178"/>
      <c r="H505" s="178"/>
      <c r="I505" s="203">
        <v>0.2412</v>
      </c>
      <c r="J505" s="215">
        <f t="shared" si="16"/>
        <v>0</v>
      </c>
    </row>
    <row r="506" spans="1:10">
      <c r="A506" s="176"/>
      <c r="B506" s="178"/>
      <c r="C506" s="178" t="s">
        <v>221</v>
      </c>
      <c r="D506" s="178" t="s">
        <v>32</v>
      </c>
      <c r="E506" s="178" t="s">
        <v>115</v>
      </c>
      <c r="F506" s="178" t="s">
        <v>460</v>
      </c>
      <c r="G506" s="178"/>
      <c r="H506" s="178"/>
      <c r="I506" s="203">
        <v>1.1655</v>
      </c>
      <c r="J506" s="215">
        <f t="shared" si="16"/>
        <v>0</v>
      </c>
    </row>
    <row r="507" spans="1:10">
      <c r="A507" s="176"/>
      <c r="B507" s="178"/>
      <c r="C507" s="178" t="s">
        <v>221</v>
      </c>
      <c r="D507" s="178" t="s">
        <v>32</v>
      </c>
      <c r="E507" s="178" t="s">
        <v>115</v>
      </c>
      <c r="F507" s="178" t="s">
        <v>461</v>
      </c>
      <c r="G507" s="178"/>
      <c r="H507" s="178"/>
      <c r="I507" s="203">
        <v>0.1759</v>
      </c>
      <c r="J507" s="215">
        <f t="shared" si="16"/>
        <v>0</v>
      </c>
    </row>
    <row r="508" spans="1:10">
      <c r="A508" s="176"/>
      <c r="B508" s="178"/>
      <c r="C508" s="178" t="s">
        <v>131</v>
      </c>
      <c r="D508" s="178" t="s">
        <v>32</v>
      </c>
      <c r="E508" s="178" t="s">
        <v>111</v>
      </c>
      <c r="F508" s="178" t="s">
        <v>462</v>
      </c>
      <c r="G508" s="178"/>
      <c r="H508" s="178"/>
      <c r="I508" s="203">
        <v>1.4344</v>
      </c>
      <c r="J508" s="215">
        <f t="shared" si="16"/>
        <v>0</v>
      </c>
    </row>
    <row r="509" spans="1:10">
      <c r="A509" s="176"/>
      <c r="B509" s="178"/>
      <c r="C509" s="178" t="s">
        <v>114</v>
      </c>
      <c r="D509" s="178" t="s">
        <v>32</v>
      </c>
      <c r="E509" s="178" t="s">
        <v>115</v>
      </c>
      <c r="F509" s="178" t="s">
        <v>463</v>
      </c>
      <c r="G509" s="178"/>
      <c r="H509" s="178"/>
      <c r="I509" s="203">
        <v>1.7722</v>
      </c>
      <c r="J509" s="215">
        <f t="shared" si="16"/>
        <v>0</v>
      </c>
    </row>
    <row r="510" spans="1:10">
      <c r="A510" s="176"/>
      <c r="B510" s="178"/>
      <c r="C510" s="178" t="s">
        <v>180</v>
      </c>
      <c r="D510" s="178" t="s">
        <v>32</v>
      </c>
      <c r="E510" s="178" t="s">
        <v>115</v>
      </c>
      <c r="F510" s="178" t="s">
        <v>464</v>
      </c>
      <c r="G510" s="178"/>
      <c r="H510" s="178"/>
      <c r="I510" s="203">
        <v>0.1661</v>
      </c>
      <c r="J510" s="215">
        <f t="shared" si="16"/>
        <v>0</v>
      </c>
    </row>
    <row r="511" spans="1:10">
      <c r="A511" s="176"/>
      <c r="B511" s="178"/>
      <c r="C511" s="178" t="s">
        <v>217</v>
      </c>
      <c r="D511" s="178" t="s">
        <v>32</v>
      </c>
      <c r="E511" s="178" t="s">
        <v>115</v>
      </c>
      <c r="F511" s="178" t="s">
        <v>465</v>
      </c>
      <c r="G511" s="178"/>
      <c r="H511" s="178"/>
      <c r="I511" s="203">
        <v>0.545</v>
      </c>
      <c r="J511" s="215">
        <f t="shared" si="16"/>
        <v>0</v>
      </c>
    </row>
    <row r="512" spans="1:10">
      <c r="A512" s="176"/>
      <c r="B512" s="178"/>
      <c r="C512" s="178" t="s">
        <v>114</v>
      </c>
      <c r="D512" s="178" t="s">
        <v>32</v>
      </c>
      <c r="E512" s="178" t="s">
        <v>115</v>
      </c>
      <c r="F512" s="178" t="s">
        <v>466</v>
      </c>
      <c r="G512" s="178"/>
      <c r="H512" s="178"/>
      <c r="I512" s="203">
        <v>0.5345</v>
      </c>
      <c r="J512" s="215">
        <f t="shared" si="16"/>
        <v>0</v>
      </c>
    </row>
    <row r="513" spans="1:10">
      <c r="A513" s="176"/>
      <c r="B513" s="178"/>
      <c r="C513" s="178" t="s">
        <v>142</v>
      </c>
      <c r="D513" s="178" t="s">
        <v>32</v>
      </c>
      <c r="E513" s="178" t="s">
        <v>115</v>
      </c>
      <c r="F513" s="178" t="s">
        <v>449</v>
      </c>
      <c r="G513" s="178"/>
      <c r="H513" s="178"/>
      <c r="I513" s="203">
        <v>0.8051</v>
      </c>
      <c r="J513" s="215">
        <f t="shared" si="16"/>
        <v>0</v>
      </c>
    </row>
    <row r="514" spans="1:10">
      <c r="A514" s="176"/>
      <c r="B514" s="178"/>
      <c r="C514" s="178" t="s">
        <v>223</v>
      </c>
      <c r="D514" s="178" t="s">
        <v>32</v>
      </c>
      <c r="E514" s="178" t="s">
        <v>115</v>
      </c>
      <c r="F514" s="178" t="s">
        <v>446</v>
      </c>
      <c r="G514" s="178"/>
      <c r="H514" s="178"/>
      <c r="I514" s="203">
        <v>1.2164</v>
      </c>
      <c r="J514" s="215">
        <f t="shared" si="16"/>
        <v>0</v>
      </c>
    </row>
    <row r="515" spans="1:10">
      <c r="A515" s="176"/>
      <c r="B515" s="178"/>
      <c r="C515" s="178" t="s">
        <v>145</v>
      </c>
      <c r="D515" s="178" t="s">
        <v>32</v>
      </c>
      <c r="E515" s="178" t="s">
        <v>111</v>
      </c>
      <c r="F515" s="178" t="s">
        <v>467</v>
      </c>
      <c r="G515" s="178"/>
      <c r="H515" s="178"/>
      <c r="I515" s="203">
        <v>0.2648</v>
      </c>
      <c r="J515" s="215">
        <f t="shared" si="16"/>
        <v>0</v>
      </c>
    </row>
    <row r="516" spans="1:10">
      <c r="A516" s="176"/>
      <c r="B516" s="178"/>
      <c r="C516" s="178" t="s">
        <v>146</v>
      </c>
      <c r="D516" s="178" t="s">
        <v>32</v>
      </c>
      <c r="E516" s="178" t="s">
        <v>115</v>
      </c>
      <c r="F516" s="178" t="s">
        <v>468</v>
      </c>
      <c r="G516" s="178"/>
      <c r="H516" s="178"/>
      <c r="I516" s="203">
        <v>0.1324</v>
      </c>
      <c r="J516" s="215">
        <f t="shared" si="16"/>
        <v>0</v>
      </c>
    </row>
    <row r="517" spans="1:10">
      <c r="A517" s="176"/>
      <c r="B517" s="178"/>
      <c r="C517" s="178" t="s">
        <v>31</v>
      </c>
      <c r="D517" s="178" t="s">
        <v>32</v>
      </c>
      <c r="E517" s="178" t="s">
        <v>111</v>
      </c>
      <c r="F517" s="178" t="s">
        <v>469</v>
      </c>
      <c r="G517" s="178"/>
      <c r="H517" s="178"/>
      <c r="I517" s="203">
        <v>1.1065</v>
      </c>
      <c r="J517" s="215">
        <f t="shared" si="16"/>
        <v>0</v>
      </c>
    </row>
    <row r="518" spans="1:10">
      <c r="A518" s="176"/>
      <c r="B518" s="178"/>
      <c r="C518" s="178" t="s">
        <v>35</v>
      </c>
      <c r="D518" s="178" t="s">
        <v>32</v>
      </c>
      <c r="E518" s="178" t="s">
        <v>111</v>
      </c>
      <c r="F518" s="178" t="s">
        <v>469</v>
      </c>
      <c r="G518" s="178"/>
      <c r="H518" s="178"/>
      <c r="I518" s="203">
        <v>1.1065</v>
      </c>
      <c r="J518" s="215">
        <f t="shared" si="16"/>
        <v>0</v>
      </c>
    </row>
    <row r="519" spans="1:10">
      <c r="A519" s="176"/>
      <c r="B519" s="178"/>
      <c r="C519" s="178" t="s">
        <v>47</v>
      </c>
      <c r="D519" s="178" t="s">
        <v>48</v>
      </c>
      <c r="E519" s="178" t="s">
        <v>48</v>
      </c>
      <c r="F519" s="178" t="s">
        <v>49</v>
      </c>
      <c r="G519" s="178"/>
      <c r="H519" s="178"/>
      <c r="I519" s="178">
        <v>91</v>
      </c>
      <c r="J519" s="215">
        <f t="shared" si="16"/>
        <v>0</v>
      </c>
    </row>
    <row r="520" spans="1:10">
      <c r="A520" s="176"/>
      <c r="B520" s="178"/>
      <c r="C520" s="178" t="s">
        <v>53</v>
      </c>
      <c r="D520" s="178" t="s">
        <v>48</v>
      </c>
      <c r="E520" s="178" t="s">
        <v>48</v>
      </c>
      <c r="F520" s="178" t="s">
        <v>81</v>
      </c>
      <c r="G520" s="178"/>
      <c r="H520" s="178"/>
      <c r="I520" s="178">
        <v>1</v>
      </c>
      <c r="J520" s="215">
        <f t="shared" si="16"/>
        <v>0</v>
      </c>
    </row>
    <row r="521" spans="1:10">
      <c r="A521" s="176"/>
      <c r="B521" s="178"/>
      <c r="C521" s="178" t="s">
        <v>151</v>
      </c>
      <c r="D521" s="178" t="s">
        <v>56</v>
      </c>
      <c r="E521" s="178" t="s">
        <v>56</v>
      </c>
      <c r="F521" s="178" t="s">
        <v>152</v>
      </c>
      <c r="G521" s="178"/>
      <c r="H521" s="178"/>
      <c r="I521" s="178">
        <v>3</v>
      </c>
      <c r="J521" s="215">
        <f t="shared" si="16"/>
        <v>0</v>
      </c>
    </row>
    <row r="522" spans="1:10">
      <c r="A522" s="176"/>
      <c r="B522" s="178"/>
      <c r="C522" s="178" t="s">
        <v>55</v>
      </c>
      <c r="D522" s="178" t="s">
        <v>56</v>
      </c>
      <c r="E522" s="178" t="s">
        <v>56</v>
      </c>
      <c r="F522" s="178" t="s">
        <v>57</v>
      </c>
      <c r="G522" s="178"/>
      <c r="H522" s="178"/>
      <c r="I522" s="178">
        <v>10</v>
      </c>
      <c r="J522" s="215">
        <f t="shared" si="16"/>
        <v>0</v>
      </c>
    </row>
    <row r="523" spans="1:10">
      <c r="A523" s="176"/>
      <c r="B523" s="178"/>
      <c r="C523" s="178" t="s">
        <v>69</v>
      </c>
      <c r="D523" s="178" t="s">
        <v>70</v>
      </c>
      <c r="E523" s="178" t="s">
        <v>70</v>
      </c>
      <c r="F523" s="178" t="s">
        <v>82</v>
      </c>
      <c r="G523" s="178"/>
      <c r="H523" s="178"/>
      <c r="I523" s="178">
        <v>1</v>
      </c>
      <c r="J523" s="215">
        <f t="shared" si="16"/>
        <v>0</v>
      </c>
    </row>
    <row r="524" spans="1:10">
      <c r="A524" s="176"/>
      <c r="B524" s="178"/>
      <c r="C524" s="178" t="s">
        <v>72</v>
      </c>
      <c r="D524" s="178" t="s">
        <v>73</v>
      </c>
      <c r="E524" s="178" t="s">
        <v>73</v>
      </c>
      <c r="F524" s="178" t="s">
        <v>74</v>
      </c>
      <c r="G524" s="178"/>
      <c r="H524" s="178"/>
      <c r="I524" s="178">
        <v>4</v>
      </c>
      <c r="J524" s="215">
        <f t="shared" si="16"/>
        <v>0</v>
      </c>
    </row>
    <row r="525" spans="1:10">
      <c r="A525" s="176"/>
      <c r="B525" s="178"/>
      <c r="C525" s="178" t="s">
        <v>69</v>
      </c>
      <c r="D525" s="178" t="s">
        <v>70</v>
      </c>
      <c r="E525" s="178" t="s">
        <v>70</v>
      </c>
      <c r="F525" s="178" t="s">
        <v>83</v>
      </c>
      <c r="G525" s="178"/>
      <c r="H525" s="178"/>
      <c r="I525" s="178">
        <v>1</v>
      </c>
      <c r="J525" s="215">
        <f t="shared" si="16"/>
        <v>0</v>
      </c>
    </row>
    <row r="526" ht="14.25" spans="1:10">
      <c r="A526" s="224" t="s">
        <v>470</v>
      </c>
      <c r="B526" s="225"/>
      <c r="C526" s="225"/>
      <c r="D526" s="225"/>
      <c r="E526" s="225"/>
      <c r="F526" s="225"/>
      <c r="G526" s="225"/>
      <c r="H526" s="225"/>
      <c r="I526" s="225"/>
      <c r="J526" s="226">
        <f>SUM(J490:J525)</f>
        <v>0</v>
      </c>
    </row>
    <row r="528" spans="1:10">
      <c r="A528" s="63" t="s">
        <v>17</v>
      </c>
      <c r="B528" s="64" t="s">
        <v>18</v>
      </c>
      <c r="C528" s="64" t="s">
        <v>105</v>
      </c>
      <c r="D528" s="64" t="s">
        <v>45</v>
      </c>
      <c r="E528" s="64" t="s">
        <v>21</v>
      </c>
      <c r="F528" s="206" t="s">
        <v>106</v>
      </c>
      <c r="G528" s="208"/>
      <c r="H528" s="208" t="s">
        <v>23</v>
      </c>
      <c r="I528" s="196" t="s">
        <v>107</v>
      </c>
      <c r="J528" s="50" t="s">
        <v>26</v>
      </c>
    </row>
    <row r="529" ht="14.25" spans="1:10">
      <c r="A529" s="63"/>
      <c r="B529" s="64"/>
      <c r="C529" s="64"/>
      <c r="D529" s="64"/>
      <c r="E529" s="64"/>
      <c r="F529" s="49"/>
      <c r="G529" s="210"/>
      <c r="H529" s="210"/>
      <c r="I529" s="6"/>
      <c r="J529" s="50"/>
    </row>
    <row r="530" spans="1:10">
      <c r="A530" s="171" t="s">
        <v>154</v>
      </c>
      <c r="B530" s="211" t="s">
        <v>471</v>
      </c>
      <c r="C530" s="173" t="s">
        <v>472</v>
      </c>
      <c r="D530" s="173" t="s">
        <v>32</v>
      </c>
      <c r="E530" s="173" t="s">
        <v>115</v>
      </c>
      <c r="F530" s="173" t="s">
        <v>473</v>
      </c>
      <c r="G530" s="173"/>
      <c r="H530" s="173"/>
      <c r="I530" s="201">
        <v>0.4572</v>
      </c>
      <c r="J530" s="214">
        <f t="shared" ref="J530:J571" si="17">H530*I530</f>
        <v>0</v>
      </c>
    </row>
    <row r="531" spans="1:10">
      <c r="A531" s="176"/>
      <c r="B531" s="178"/>
      <c r="C531" s="178" t="s">
        <v>129</v>
      </c>
      <c r="D531" s="178" t="s">
        <v>32</v>
      </c>
      <c r="E531" s="178" t="s">
        <v>115</v>
      </c>
      <c r="F531" s="178" t="s">
        <v>474</v>
      </c>
      <c r="G531" s="178"/>
      <c r="H531" s="178"/>
      <c r="I531" s="203">
        <v>1.3382</v>
      </c>
      <c r="J531" s="215">
        <f t="shared" si="17"/>
        <v>0</v>
      </c>
    </row>
    <row r="532" spans="1:10">
      <c r="A532" s="176"/>
      <c r="B532" s="178"/>
      <c r="C532" s="178" t="s">
        <v>375</v>
      </c>
      <c r="D532" s="178" t="s">
        <v>32</v>
      </c>
      <c r="E532" s="178" t="s">
        <v>111</v>
      </c>
      <c r="F532" s="178" t="s">
        <v>475</v>
      </c>
      <c r="G532" s="178"/>
      <c r="H532" s="178"/>
      <c r="I532" s="203">
        <v>0.3516</v>
      </c>
      <c r="J532" s="215">
        <f t="shared" si="17"/>
        <v>0</v>
      </c>
    </row>
    <row r="533" spans="1:10">
      <c r="A533" s="176"/>
      <c r="B533" s="178"/>
      <c r="C533" s="178" t="s">
        <v>123</v>
      </c>
      <c r="D533" s="178" t="s">
        <v>32</v>
      </c>
      <c r="E533" s="178" t="s">
        <v>115</v>
      </c>
      <c r="F533" s="178" t="s">
        <v>476</v>
      </c>
      <c r="G533" s="178"/>
      <c r="H533" s="178"/>
      <c r="I533" s="203">
        <v>0.0592</v>
      </c>
      <c r="J533" s="215">
        <f t="shared" si="17"/>
        <v>0</v>
      </c>
    </row>
    <row r="534" spans="1:10">
      <c r="A534" s="176"/>
      <c r="B534" s="178"/>
      <c r="C534" s="178" t="s">
        <v>124</v>
      </c>
      <c r="D534" s="178" t="s">
        <v>32</v>
      </c>
      <c r="E534" s="178" t="s">
        <v>115</v>
      </c>
      <c r="F534" s="178" t="s">
        <v>477</v>
      </c>
      <c r="G534" s="178"/>
      <c r="H534" s="178"/>
      <c r="I534" s="203">
        <v>0.35</v>
      </c>
      <c r="J534" s="215">
        <f t="shared" si="17"/>
        <v>0</v>
      </c>
    </row>
    <row r="535" spans="1:10">
      <c r="A535" s="176"/>
      <c r="B535" s="178"/>
      <c r="C535" s="178" t="s">
        <v>126</v>
      </c>
      <c r="D535" s="178" t="s">
        <v>32</v>
      </c>
      <c r="E535" s="178" t="s">
        <v>115</v>
      </c>
      <c r="F535" s="178" t="s">
        <v>477</v>
      </c>
      <c r="G535" s="178"/>
      <c r="H535" s="178"/>
      <c r="I535" s="203">
        <v>0.35</v>
      </c>
      <c r="J535" s="215">
        <f t="shared" si="17"/>
        <v>0</v>
      </c>
    </row>
    <row r="536" spans="1:10">
      <c r="A536" s="176"/>
      <c r="B536" s="178"/>
      <c r="C536" s="178" t="s">
        <v>127</v>
      </c>
      <c r="D536" s="178" t="s">
        <v>32</v>
      </c>
      <c r="E536" s="178" t="s">
        <v>115</v>
      </c>
      <c r="F536" s="178" t="s">
        <v>478</v>
      </c>
      <c r="G536" s="178"/>
      <c r="H536" s="178"/>
      <c r="I536" s="203">
        <v>0.213</v>
      </c>
      <c r="J536" s="215">
        <f t="shared" si="17"/>
        <v>0</v>
      </c>
    </row>
    <row r="537" spans="1:10">
      <c r="A537" s="176"/>
      <c r="B537" s="178"/>
      <c r="C537" s="178" t="s">
        <v>221</v>
      </c>
      <c r="D537" s="178" t="s">
        <v>32</v>
      </c>
      <c r="E537" s="178" t="s">
        <v>115</v>
      </c>
      <c r="F537" s="178" t="s">
        <v>479</v>
      </c>
      <c r="G537" s="178"/>
      <c r="H537" s="178"/>
      <c r="I537" s="203">
        <v>0.3556</v>
      </c>
      <c r="J537" s="215">
        <f t="shared" si="17"/>
        <v>0</v>
      </c>
    </row>
    <row r="538" spans="1:10">
      <c r="A538" s="176"/>
      <c r="B538" s="178"/>
      <c r="C538" s="178" t="s">
        <v>123</v>
      </c>
      <c r="D538" s="178" t="s">
        <v>32</v>
      </c>
      <c r="E538" s="178" t="s">
        <v>115</v>
      </c>
      <c r="F538" s="178" t="s">
        <v>480</v>
      </c>
      <c r="G538" s="178"/>
      <c r="H538" s="178"/>
      <c r="I538" s="203">
        <v>0.1739</v>
      </c>
      <c r="J538" s="215">
        <f t="shared" si="17"/>
        <v>0</v>
      </c>
    </row>
    <row r="539" spans="1:10">
      <c r="A539" s="176"/>
      <c r="B539" s="178"/>
      <c r="C539" s="178" t="s">
        <v>127</v>
      </c>
      <c r="D539" s="178" t="s">
        <v>32</v>
      </c>
      <c r="E539" s="178" t="s">
        <v>115</v>
      </c>
      <c r="F539" s="178" t="s">
        <v>481</v>
      </c>
      <c r="G539" s="178"/>
      <c r="H539" s="178"/>
      <c r="I539" s="203">
        <v>0.6258</v>
      </c>
      <c r="J539" s="215">
        <f t="shared" si="17"/>
        <v>0</v>
      </c>
    </row>
    <row r="540" spans="1:10">
      <c r="A540" s="176"/>
      <c r="B540" s="178"/>
      <c r="C540" s="178" t="s">
        <v>375</v>
      </c>
      <c r="D540" s="178" t="s">
        <v>32</v>
      </c>
      <c r="E540" s="178" t="s">
        <v>111</v>
      </c>
      <c r="F540" s="178" t="s">
        <v>482</v>
      </c>
      <c r="G540" s="178"/>
      <c r="H540" s="178"/>
      <c r="I540" s="203">
        <v>0.0877</v>
      </c>
      <c r="J540" s="215">
        <f t="shared" si="17"/>
        <v>0</v>
      </c>
    </row>
    <row r="541" spans="1:10">
      <c r="A541" s="176"/>
      <c r="B541" s="178"/>
      <c r="C541" s="178" t="s">
        <v>123</v>
      </c>
      <c r="D541" s="178" t="s">
        <v>32</v>
      </c>
      <c r="E541" s="178" t="s">
        <v>115</v>
      </c>
      <c r="F541" s="178" t="s">
        <v>483</v>
      </c>
      <c r="G541" s="178"/>
      <c r="H541" s="178"/>
      <c r="I541" s="203">
        <v>0.0591</v>
      </c>
      <c r="J541" s="215">
        <f t="shared" si="17"/>
        <v>0</v>
      </c>
    </row>
    <row r="542" spans="1:10">
      <c r="A542" s="176"/>
      <c r="B542" s="178"/>
      <c r="C542" s="178" t="s">
        <v>127</v>
      </c>
      <c r="D542" s="178" t="s">
        <v>32</v>
      </c>
      <c r="E542" s="178" t="s">
        <v>115</v>
      </c>
      <c r="F542" s="178" t="s">
        <v>484</v>
      </c>
      <c r="G542" s="178"/>
      <c r="H542" s="178"/>
      <c r="I542" s="203">
        <v>0.2125</v>
      </c>
      <c r="J542" s="215">
        <f t="shared" si="17"/>
        <v>0</v>
      </c>
    </row>
    <row r="543" spans="1:10">
      <c r="A543" s="176"/>
      <c r="B543" s="178"/>
      <c r="C543" s="178" t="s">
        <v>114</v>
      </c>
      <c r="D543" s="178" t="s">
        <v>32</v>
      </c>
      <c r="E543" s="178" t="s">
        <v>115</v>
      </c>
      <c r="F543" s="178" t="s">
        <v>485</v>
      </c>
      <c r="G543" s="178"/>
      <c r="H543" s="178"/>
      <c r="I543" s="203">
        <v>1.8814</v>
      </c>
      <c r="J543" s="215">
        <f t="shared" si="17"/>
        <v>0</v>
      </c>
    </row>
    <row r="544" spans="1:10">
      <c r="A544" s="176"/>
      <c r="B544" s="178"/>
      <c r="C544" s="178" t="s">
        <v>486</v>
      </c>
      <c r="D544" s="178" t="s">
        <v>32</v>
      </c>
      <c r="E544" s="178" t="s">
        <v>115</v>
      </c>
      <c r="F544" s="178" t="s">
        <v>473</v>
      </c>
      <c r="G544" s="178"/>
      <c r="H544" s="178"/>
      <c r="I544" s="203">
        <v>0.4572</v>
      </c>
      <c r="J544" s="215">
        <f t="shared" si="17"/>
        <v>0</v>
      </c>
    </row>
    <row r="545" spans="1:10">
      <c r="A545" s="176"/>
      <c r="B545" s="178"/>
      <c r="C545" s="178" t="s">
        <v>129</v>
      </c>
      <c r="D545" s="178" t="s">
        <v>32</v>
      </c>
      <c r="E545" s="178" t="s">
        <v>115</v>
      </c>
      <c r="F545" s="178" t="s">
        <v>487</v>
      </c>
      <c r="G545" s="178"/>
      <c r="H545" s="178"/>
      <c r="I545" s="203">
        <v>1.503</v>
      </c>
      <c r="J545" s="215">
        <f t="shared" si="17"/>
        <v>0</v>
      </c>
    </row>
    <row r="546" spans="1:10">
      <c r="A546" s="176"/>
      <c r="B546" s="178"/>
      <c r="C546" s="178" t="s">
        <v>472</v>
      </c>
      <c r="D546" s="178" t="s">
        <v>32</v>
      </c>
      <c r="E546" s="178" t="s">
        <v>115</v>
      </c>
      <c r="F546" s="178" t="s">
        <v>488</v>
      </c>
      <c r="G546" s="178"/>
      <c r="H546" s="178"/>
      <c r="I546" s="203">
        <v>0.5025</v>
      </c>
      <c r="J546" s="215">
        <f t="shared" si="17"/>
        <v>0</v>
      </c>
    </row>
    <row r="547" spans="1:10">
      <c r="A547" s="176"/>
      <c r="B547" s="178"/>
      <c r="C547" s="178" t="s">
        <v>114</v>
      </c>
      <c r="D547" s="178" t="s">
        <v>32</v>
      </c>
      <c r="E547" s="178" t="s">
        <v>115</v>
      </c>
      <c r="F547" s="178" t="s">
        <v>489</v>
      </c>
      <c r="G547" s="178"/>
      <c r="H547" s="178"/>
      <c r="I547" s="203">
        <v>1.4814</v>
      </c>
      <c r="J547" s="215">
        <f t="shared" si="17"/>
        <v>0</v>
      </c>
    </row>
    <row r="548" spans="1:10">
      <c r="A548" s="176"/>
      <c r="B548" s="178"/>
      <c r="C548" s="178" t="s">
        <v>129</v>
      </c>
      <c r="D548" s="178" t="s">
        <v>32</v>
      </c>
      <c r="E548" s="178" t="s">
        <v>115</v>
      </c>
      <c r="F548" s="178" t="s">
        <v>490</v>
      </c>
      <c r="G548" s="178"/>
      <c r="H548" s="178"/>
      <c r="I548" s="203">
        <v>0.6913</v>
      </c>
      <c r="J548" s="215">
        <f t="shared" si="17"/>
        <v>0</v>
      </c>
    </row>
    <row r="549" spans="1:10">
      <c r="A549" s="176"/>
      <c r="B549" s="178"/>
      <c r="C549" s="178" t="s">
        <v>114</v>
      </c>
      <c r="D549" s="178" t="s">
        <v>32</v>
      </c>
      <c r="E549" s="178" t="s">
        <v>115</v>
      </c>
      <c r="F549" s="178" t="s">
        <v>491</v>
      </c>
      <c r="G549" s="178"/>
      <c r="H549" s="178"/>
      <c r="I549" s="203">
        <v>1.0628</v>
      </c>
      <c r="J549" s="215">
        <f t="shared" si="17"/>
        <v>0</v>
      </c>
    </row>
    <row r="550" spans="1:10">
      <c r="A550" s="176"/>
      <c r="B550" s="178"/>
      <c r="C550" s="178" t="s">
        <v>129</v>
      </c>
      <c r="D550" s="178" t="s">
        <v>32</v>
      </c>
      <c r="E550" s="178" t="s">
        <v>115</v>
      </c>
      <c r="F550" s="178" t="s">
        <v>492</v>
      </c>
      <c r="G550" s="178"/>
      <c r="H550" s="178"/>
      <c r="I550" s="203">
        <v>0.8855</v>
      </c>
      <c r="J550" s="215">
        <f t="shared" si="17"/>
        <v>0</v>
      </c>
    </row>
    <row r="551" spans="1:10">
      <c r="A551" s="176"/>
      <c r="B551" s="178"/>
      <c r="C551" s="178" t="s">
        <v>114</v>
      </c>
      <c r="D551" s="178" t="s">
        <v>32</v>
      </c>
      <c r="E551" s="178" t="s">
        <v>115</v>
      </c>
      <c r="F551" s="178" t="s">
        <v>493</v>
      </c>
      <c r="G551" s="178"/>
      <c r="H551" s="178"/>
      <c r="I551" s="203">
        <v>0.5395</v>
      </c>
      <c r="J551" s="215">
        <f t="shared" si="17"/>
        <v>0</v>
      </c>
    </row>
    <row r="552" spans="1:10">
      <c r="A552" s="176"/>
      <c r="B552" s="178"/>
      <c r="C552" s="178" t="s">
        <v>221</v>
      </c>
      <c r="D552" s="178" t="s">
        <v>32</v>
      </c>
      <c r="E552" s="178" t="s">
        <v>115</v>
      </c>
      <c r="F552" s="178" t="s">
        <v>494</v>
      </c>
      <c r="G552" s="178"/>
      <c r="H552" s="178"/>
      <c r="I552" s="203">
        <v>0.5538</v>
      </c>
      <c r="J552" s="215">
        <f t="shared" si="17"/>
        <v>0</v>
      </c>
    </row>
    <row r="553" spans="1:10">
      <c r="A553" s="176"/>
      <c r="B553" s="178"/>
      <c r="C553" s="178" t="s">
        <v>114</v>
      </c>
      <c r="D553" s="178" t="s">
        <v>32</v>
      </c>
      <c r="E553" s="178" t="s">
        <v>115</v>
      </c>
      <c r="F553" s="178" t="s">
        <v>495</v>
      </c>
      <c r="G553" s="178"/>
      <c r="H553" s="178"/>
      <c r="I553" s="203">
        <v>0.5431</v>
      </c>
      <c r="J553" s="215">
        <f t="shared" si="17"/>
        <v>0</v>
      </c>
    </row>
    <row r="554" spans="1:10">
      <c r="A554" s="176"/>
      <c r="B554" s="178"/>
      <c r="C554" s="178" t="s">
        <v>129</v>
      </c>
      <c r="D554" s="178" t="s">
        <v>32</v>
      </c>
      <c r="E554" s="178" t="s">
        <v>115</v>
      </c>
      <c r="F554" s="178" t="s">
        <v>496</v>
      </c>
      <c r="G554" s="178"/>
      <c r="H554" s="178"/>
      <c r="I554" s="203">
        <v>0.2304</v>
      </c>
      <c r="J554" s="215">
        <f t="shared" si="17"/>
        <v>0</v>
      </c>
    </row>
    <row r="555" spans="1:10">
      <c r="A555" s="176"/>
      <c r="B555" s="178"/>
      <c r="C555" s="178" t="s">
        <v>129</v>
      </c>
      <c r="D555" s="178" t="s">
        <v>32</v>
      </c>
      <c r="E555" s="178" t="s">
        <v>115</v>
      </c>
      <c r="F555" s="178" t="s">
        <v>497</v>
      </c>
      <c r="G555" s="178"/>
      <c r="H555" s="178"/>
      <c r="I555" s="203">
        <v>0.2263</v>
      </c>
      <c r="J555" s="215">
        <f t="shared" si="17"/>
        <v>0</v>
      </c>
    </row>
    <row r="556" spans="1:10">
      <c r="A556" s="176"/>
      <c r="B556" s="178"/>
      <c r="C556" s="178" t="s">
        <v>114</v>
      </c>
      <c r="D556" s="178" t="s">
        <v>32</v>
      </c>
      <c r="E556" s="178" t="s">
        <v>115</v>
      </c>
      <c r="F556" s="178" t="s">
        <v>498</v>
      </c>
      <c r="G556" s="178"/>
      <c r="H556" s="178"/>
      <c r="I556" s="203">
        <v>0.2757</v>
      </c>
      <c r="J556" s="215">
        <f t="shared" si="17"/>
        <v>0</v>
      </c>
    </row>
    <row r="557" spans="1:10">
      <c r="A557" s="176"/>
      <c r="B557" s="178"/>
      <c r="C557" s="178" t="s">
        <v>142</v>
      </c>
      <c r="D557" s="178" t="s">
        <v>32</v>
      </c>
      <c r="E557" s="178" t="s">
        <v>115</v>
      </c>
      <c r="F557" s="178" t="s">
        <v>490</v>
      </c>
      <c r="G557" s="178"/>
      <c r="H557" s="178"/>
      <c r="I557" s="203">
        <v>0.6913</v>
      </c>
      <c r="J557" s="215">
        <f t="shared" si="17"/>
        <v>0</v>
      </c>
    </row>
    <row r="558" spans="1:10">
      <c r="A558" s="176"/>
      <c r="B558" s="178"/>
      <c r="C558" s="178" t="s">
        <v>145</v>
      </c>
      <c r="D558" s="178" t="s">
        <v>32</v>
      </c>
      <c r="E558" s="178" t="s">
        <v>115</v>
      </c>
      <c r="F558" s="178" t="s">
        <v>499</v>
      </c>
      <c r="G558" s="178"/>
      <c r="H558" s="178"/>
      <c r="I558" s="203">
        <v>0.1234</v>
      </c>
      <c r="J558" s="215">
        <f t="shared" si="17"/>
        <v>0</v>
      </c>
    </row>
    <row r="559" spans="1:10">
      <c r="A559" s="176"/>
      <c r="B559" s="178"/>
      <c r="C559" s="178" t="s">
        <v>146</v>
      </c>
      <c r="D559" s="178" t="s">
        <v>32</v>
      </c>
      <c r="E559" s="178" t="s">
        <v>115</v>
      </c>
      <c r="F559" s="178" t="s">
        <v>500</v>
      </c>
      <c r="G559" s="178"/>
      <c r="H559" s="178"/>
      <c r="I559" s="203">
        <v>0.1975</v>
      </c>
      <c r="J559" s="215">
        <f t="shared" si="17"/>
        <v>0</v>
      </c>
    </row>
    <row r="560" spans="1:10">
      <c r="A560" s="176"/>
      <c r="B560" s="178"/>
      <c r="C560" s="178" t="s">
        <v>486</v>
      </c>
      <c r="D560" s="178" t="s">
        <v>32</v>
      </c>
      <c r="E560" s="178" t="s">
        <v>115</v>
      </c>
      <c r="F560" s="178" t="s">
        <v>488</v>
      </c>
      <c r="G560" s="178"/>
      <c r="H560" s="178"/>
      <c r="I560" s="203">
        <v>0.5025</v>
      </c>
      <c r="J560" s="215">
        <f t="shared" si="17"/>
        <v>0</v>
      </c>
    </row>
    <row r="561" spans="1:10">
      <c r="A561" s="176"/>
      <c r="B561" s="178"/>
      <c r="C561" s="178" t="s">
        <v>31</v>
      </c>
      <c r="D561" s="178" t="s">
        <v>32</v>
      </c>
      <c r="E561" s="178" t="s">
        <v>111</v>
      </c>
      <c r="F561" s="178" t="s">
        <v>501</v>
      </c>
      <c r="G561" s="178"/>
      <c r="H561" s="178"/>
      <c r="I561" s="203">
        <v>0.8677</v>
      </c>
      <c r="J561" s="215">
        <f t="shared" si="17"/>
        <v>0</v>
      </c>
    </row>
    <row r="562" spans="1:10">
      <c r="A562" s="176"/>
      <c r="B562" s="178"/>
      <c r="C562" s="178" t="s">
        <v>35</v>
      </c>
      <c r="D562" s="178" t="s">
        <v>32</v>
      </c>
      <c r="E562" s="178" t="s">
        <v>111</v>
      </c>
      <c r="F562" s="178" t="s">
        <v>501</v>
      </c>
      <c r="G562" s="178"/>
      <c r="H562" s="178"/>
      <c r="I562" s="203">
        <v>0.8677</v>
      </c>
      <c r="J562" s="215">
        <f t="shared" si="17"/>
        <v>0</v>
      </c>
    </row>
    <row r="563" spans="1:10">
      <c r="A563" s="176"/>
      <c r="B563" s="178"/>
      <c r="C563" s="178" t="s">
        <v>31</v>
      </c>
      <c r="D563" s="178" t="s">
        <v>32</v>
      </c>
      <c r="E563" s="178" t="s">
        <v>111</v>
      </c>
      <c r="F563" s="178" t="s">
        <v>502</v>
      </c>
      <c r="G563" s="178"/>
      <c r="H563" s="178"/>
      <c r="I563" s="203">
        <v>0.2974</v>
      </c>
      <c r="J563" s="215">
        <f t="shared" si="17"/>
        <v>0</v>
      </c>
    </row>
    <row r="564" spans="1:10">
      <c r="A564" s="176"/>
      <c r="B564" s="178"/>
      <c r="C564" s="178" t="s">
        <v>35</v>
      </c>
      <c r="D564" s="178" t="s">
        <v>32</v>
      </c>
      <c r="E564" s="178" t="s">
        <v>111</v>
      </c>
      <c r="F564" s="178" t="s">
        <v>502</v>
      </c>
      <c r="G564" s="178"/>
      <c r="H564" s="178"/>
      <c r="I564" s="203">
        <v>0.2974</v>
      </c>
      <c r="J564" s="215">
        <f t="shared" si="17"/>
        <v>0</v>
      </c>
    </row>
    <row r="565" spans="1:10">
      <c r="A565" s="176"/>
      <c r="B565" s="178"/>
      <c r="C565" s="178" t="s">
        <v>47</v>
      </c>
      <c r="D565" s="178" t="s">
        <v>48</v>
      </c>
      <c r="E565" s="178" t="s">
        <v>48</v>
      </c>
      <c r="F565" s="178" t="s">
        <v>49</v>
      </c>
      <c r="G565" s="178"/>
      <c r="H565" s="178"/>
      <c r="I565" s="178">
        <v>151</v>
      </c>
      <c r="J565" s="215">
        <f t="shared" si="17"/>
        <v>0</v>
      </c>
    </row>
    <row r="566" spans="1:10">
      <c r="A566" s="176"/>
      <c r="B566" s="178"/>
      <c r="C566" s="178" t="s">
        <v>50</v>
      </c>
      <c r="D566" s="178" t="s">
        <v>51</v>
      </c>
      <c r="E566" s="178" t="s">
        <v>51</v>
      </c>
      <c r="F566" s="178" t="s">
        <v>84</v>
      </c>
      <c r="G566" s="178"/>
      <c r="H566" s="178"/>
      <c r="I566" s="178">
        <v>1</v>
      </c>
      <c r="J566" s="215">
        <f t="shared" si="17"/>
        <v>0</v>
      </c>
    </row>
    <row r="567" spans="1:10">
      <c r="A567" s="176"/>
      <c r="B567" s="178"/>
      <c r="C567" s="178" t="s">
        <v>50</v>
      </c>
      <c r="D567" s="178" t="s">
        <v>51</v>
      </c>
      <c r="E567" s="178" t="s">
        <v>51</v>
      </c>
      <c r="F567" s="178" t="s">
        <v>85</v>
      </c>
      <c r="G567" s="178"/>
      <c r="H567" s="178"/>
      <c r="I567" s="178">
        <v>1</v>
      </c>
      <c r="J567" s="215">
        <f t="shared" si="17"/>
        <v>0</v>
      </c>
    </row>
    <row r="568" spans="1:10">
      <c r="A568" s="176"/>
      <c r="B568" s="178"/>
      <c r="C568" s="178" t="s">
        <v>53</v>
      </c>
      <c r="D568" s="178" t="s">
        <v>48</v>
      </c>
      <c r="E568" s="178" t="s">
        <v>48</v>
      </c>
      <c r="F568" s="178" t="s">
        <v>68</v>
      </c>
      <c r="G568" s="178"/>
      <c r="H568" s="178"/>
      <c r="I568" s="178">
        <v>5</v>
      </c>
      <c r="J568" s="215">
        <f t="shared" si="17"/>
        <v>0</v>
      </c>
    </row>
    <row r="569" spans="1:10">
      <c r="A569" s="176"/>
      <c r="B569" s="178"/>
      <c r="C569" s="178" t="s">
        <v>151</v>
      </c>
      <c r="D569" s="178" t="s">
        <v>56</v>
      </c>
      <c r="E569" s="178" t="s">
        <v>56</v>
      </c>
      <c r="F569" s="178" t="s">
        <v>152</v>
      </c>
      <c r="G569" s="178"/>
      <c r="H569" s="178"/>
      <c r="I569" s="178">
        <v>11</v>
      </c>
      <c r="J569" s="215">
        <f t="shared" si="17"/>
        <v>0</v>
      </c>
    </row>
    <row r="570" spans="1:10">
      <c r="A570" s="176"/>
      <c r="B570" s="178"/>
      <c r="C570" s="178" t="s">
        <v>55</v>
      </c>
      <c r="D570" s="178" t="s">
        <v>56</v>
      </c>
      <c r="E570" s="178" t="s">
        <v>56</v>
      </c>
      <c r="F570" s="178" t="s">
        <v>65</v>
      </c>
      <c r="G570" s="178"/>
      <c r="H570" s="178"/>
      <c r="I570" s="178">
        <v>8</v>
      </c>
      <c r="J570" s="215">
        <f t="shared" si="17"/>
        <v>0</v>
      </c>
    </row>
    <row r="571" spans="1:10">
      <c r="A571" s="176"/>
      <c r="B571" s="178"/>
      <c r="C571" s="178" t="s">
        <v>55</v>
      </c>
      <c r="D571" s="178" t="s">
        <v>56</v>
      </c>
      <c r="E571" s="178" t="s">
        <v>56</v>
      </c>
      <c r="F571" s="178" t="s">
        <v>57</v>
      </c>
      <c r="G571" s="178"/>
      <c r="H571" s="178"/>
      <c r="I571" s="178">
        <v>4</v>
      </c>
      <c r="J571" s="215">
        <f t="shared" si="17"/>
        <v>0</v>
      </c>
    </row>
    <row r="572" ht="14.25" spans="1:10">
      <c r="A572" s="224" t="s">
        <v>503</v>
      </c>
      <c r="B572" s="225"/>
      <c r="C572" s="225"/>
      <c r="D572" s="225"/>
      <c r="E572" s="225"/>
      <c r="F572" s="225"/>
      <c r="G572" s="225"/>
      <c r="H572" s="225"/>
      <c r="I572" s="225"/>
      <c r="J572" s="226">
        <f>SUM(J530:J571)</f>
        <v>0</v>
      </c>
    </row>
    <row r="574" spans="1:10">
      <c r="A574" s="63" t="s">
        <v>17</v>
      </c>
      <c r="B574" s="64" t="s">
        <v>18</v>
      </c>
      <c r="C574" s="64" t="s">
        <v>105</v>
      </c>
      <c r="D574" s="64" t="s">
        <v>45</v>
      </c>
      <c r="E574" s="64" t="s">
        <v>21</v>
      </c>
      <c r="F574" s="206" t="s">
        <v>106</v>
      </c>
      <c r="G574" s="208"/>
      <c r="H574" s="208" t="s">
        <v>23</v>
      </c>
      <c r="I574" s="196" t="s">
        <v>107</v>
      </c>
      <c r="J574" s="50" t="s">
        <v>26</v>
      </c>
    </row>
    <row r="575" ht="14.25" spans="1:10">
      <c r="A575" s="63"/>
      <c r="B575" s="64"/>
      <c r="C575" s="64"/>
      <c r="D575" s="64"/>
      <c r="E575" s="64"/>
      <c r="F575" s="49"/>
      <c r="G575" s="210"/>
      <c r="H575" s="210"/>
      <c r="I575" s="6"/>
      <c r="J575" s="50"/>
    </row>
    <row r="576" spans="1:10">
      <c r="A576" s="171" t="s">
        <v>108</v>
      </c>
      <c r="B576" s="211" t="s">
        <v>504</v>
      </c>
      <c r="C576" s="173" t="s">
        <v>110</v>
      </c>
      <c r="D576" s="173" t="s">
        <v>32</v>
      </c>
      <c r="E576" s="173" t="s">
        <v>111</v>
      </c>
      <c r="F576" s="173" t="s">
        <v>505</v>
      </c>
      <c r="G576" s="173"/>
      <c r="H576" s="173"/>
      <c r="I576" s="201">
        <v>0.847</v>
      </c>
      <c r="J576" s="214">
        <f t="shared" ref="J576:J591" si="18">H576*I576</f>
        <v>0</v>
      </c>
    </row>
    <row r="577" spans="1:10">
      <c r="A577" s="176"/>
      <c r="B577" s="178"/>
      <c r="C577" s="178" t="s">
        <v>199</v>
      </c>
      <c r="D577" s="178" t="s">
        <v>32</v>
      </c>
      <c r="E577" s="178" t="s">
        <v>115</v>
      </c>
      <c r="F577" s="178" t="s">
        <v>506</v>
      </c>
      <c r="G577" s="178"/>
      <c r="H577" s="178"/>
      <c r="I577" s="203">
        <v>0.054</v>
      </c>
      <c r="J577" s="215">
        <f t="shared" si="18"/>
        <v>0</v>
      </c>
    </row>
    <row r="578" spans="1:10">
      <c r="A578" s="176"/>
      <c r="B578" s="178"/>
      <c r="C578" s="178" t="s">
        <v>117</v>
      </c>
      <c r="D578" s="178" t="s">
        <v>32</v>
      </c>
      <c r="E578" s="178" t="s">
        <v>115</v>
      </c>
      <c r="F578" s="178" t="s">
        <v>507</v>
      </c>
      <c r="G578" s="178"/>
      <c r="H578" s="178"/>
      <c r="I578" s="203">
        <v>0.1485</v>
      </c>
      <c r="J578" s="215">
        <f t="shared" si="18"/>
        <v>0</v>
      </c>
    </row>
    <row r="579" spans="1:10">
      <c r="A579" s="176"/>
      <c r="B579" s="178"/>
      <c r="C579" s="178" t="s">
        <v>114</v>
      </c>
      <c r="D579" s="178" t="s">
        <v>32</v>
      </c>
      <c r="E579" s="178" t="s">
        <v>115</v>
      </c>
      <c r="F579" s="178" t="s">
        <v>508</v>
      </c>
      <c r="G579" s="178"/>
      <c r="H579" s="178"/>
      <c r="I579" s="203">
        <v>0.828</v>
      </c>
      <c r="J579" s="215">
        <f t="shared" si="18"/>
        <v>0</v>
      </c>
    </row>
    <row r="580" spans="1:10">
      <c r="A580" s="176"/>
      <c r="B580" s="178"/>
      <c r="C580" s="178" t="s">
        <v>129</v>
      </c>
      <c r="D580" s="178" t="s">
        <v>32</v>
      </c>
      <c r="E580" s="178" t="s">
        <v>115</v>
      </c>
      <c r="F580" s="178" t="s">
        <v>509</v>
      </c>
      <c r="G580" s="178"/>
      <c r="H580" s="178"/>
      <c r="I580" s="203">
        <v>0.585</v>
      </c>
      <c r="J580" s="215">
        <f t="shared" si="18"/>
        <v>0</v>
      </c>
    </row>
    <row r="581" spans="1:10">
      <c r="A581" s="176"/>
      <c r="B581" s="178"/>
      <c r="C581" s="178" t="s">
        <v>180</v>
      </c>
      <c r="D581" s="178" t="s">
        <v>32</v>
      </c>
      <c r="E581" s="178" t="s">
        <v>115</v>
      </c>
      <c r="F581" s="178" t="s">
        <v>510</v>
      </c>
      <c r="G581" s="178"/>
      <c r="H581" s="178"/>
      <c r="I581" s="203">
        <v>0.072</v>
      </c>
      <c r="J581" s="215">
        <f t="shared" si="18"/>
        <v>0</v>
      </c>
    </row>
    <row r="582" spans="1:10">
      <c r="A582" s="176"/>
      <c r="B582" s="178"/>
      <c r="C582" s="178" t="s">
        <v>114</v>
      </c>
      <c r="D582" s="178" t="s">
        <v>32</v>
      </c>
      <c r="E582" s="178" t="s">
        <v>115</v>
      </c>
      <c r="F582" s="178" t="s">
        <v>511</v>
      </c>
      <c r="G582" s="178"/>
      <c r="H582" s="178"/>
      <c r="I582" s="203">
        <v>0.2079</v>
      </c>
      <c r="J582" s="215">
        <f t="shared" si="18"/>
        <v>0</v>
      </c>
    </row>
    <row r="583" spans="1:10">
      <c r="A583" s="176"/>
      <c r="B583" s="178"/>
      <c r="C583" s="178" t="s">
        <v>142</v>
      </c>
      <c r="D583" s="178" t="s">
        <v>32</v>
      </c>
      <c r="E583" s="178" t="s">
        <v>115</v>
      </c>
      <c r="F583" s="178" t="s">
        <v>507</v>
      </c>
      <c r="G583" s="178"/>
      <c r="H583" s="178"/>
      <c r="I583" s="203">
        <v>0.1485</v>
      </c>
      <c r="J583" s="215">
        <f t="shared" si="18"/>
        <v>0</v>
      </c>
    </row>
    <row r="584" spans="1:10">
      <c r="A584" s="176"/>
      <c r="B584" s="178"/>
      <c r="C584" s="178" t="s">
        <v>145</v>
      </c>
      <c r="D584" s="178" t="s">
        <v>32</v>
      </c>
      <c r="E584" s="178" t="s">
        <v>115</v>
      </c>
      <c r="F584" s="178" t="s">
        <v>245</v>
      </c>
      <c r="G584" s="178"/>
      <c r="H584" s="178"/>
      <c r="I584" s="203">
        <v>0.0225</v>
      </c>
      <c r="J584" s="215">
        <f t="shared" si="18"/>
        <v>0</v>
      </c>
    </row>
    <row r="585" spans="1:10">
      <c r="A585" s="176"/>
      <c r="B585" s="178"/>
      <c r="C585" s="178" t="s">
        <v>146</v>
      </c>
      <c r="D585" s="178" t="s">
        <v>32</v>
      </c>
      <c r="E585" s="178" t="s">
        <v>115</v>
      </c>
      <c r="F585" s="178" t="s">
        <v>510</v>
      </c>
      <c r="G585" s="178"/>
      <c r="H585" s="178"/>
      <c r="I585" s="203">
        <v>0.036</v>
      </c>
      <c r="J585" s="215">
        <f t="shared" si="18"/>
        <v>0</v>
      </c>
    </row>
    <row r="586" spans="1:10">
      <c r="A586" s="176"/>
      <c r="B586" s="178"/>
      <c r="C586" s="178" t="s">
        <v>223</v>
      </c>
      <c r="D586" s="178" t="s">
        <v>32</v>
      </c>
      <c r="E586" s="178" t="s">
        <v>111</v>
      </c>
      <c r="F586" s="178" t="s">
        <v>505</v>
      </c>
      <c r="G586" s="178"/>
      <c r="H586" s="178"/>
      <c r="I586" s="203">
        <v>0.847</v>
      </c>
      <c r="J586" s="215">
        <f t="shared" si="18"/>
        <v>0</v>
      </c>
    </row>
    <row r="587" spans="1:10">
      <c r="A587" s="176"/>
      <c r="B587" s="178"/>
      <c r="C587" s="178" t="s">
        <v>31</v>
      </c>
      <c r="D587" s="178" t="s">
        <v>32</v>
      </c>
      <c r="E587" s="178" t="s">
        <v>33</v>
      </c>
      <c r="F587" s="178" t="s">
        <v>512</v>
      </c>
      <c r="G587" s="178"/>
      <c r="H587" s="178"/>
      <c r="I587" s="203">
        <v>1.0622</v>
      </c>
      <c r="J587" s="215">
        <f t="shared" si="18"/>
        <v>0</v>
      </c>
    </row>
    <row r="588" spans="1:10">
      <c r="A588" s="176"/>
      <c r="B588" s="178"/>
      <c r="C588" s="178" t="s">
        <v>47</v>
      </c>
      <c r="D588" s="178" t="s">
        <v>48</v>
      </c>
      <c r="E588" s="178" t="s">
        <v>48</v>
      </c>
      <c r="F588" s="178" t="s">
        <v>49</v>
      </c>
      <c r="G588" s="178"/>
      <c r="H588" s="178"/>
      <c r="I588" s="178">
        <v>46</v>
      </c>
      <c r="J588" s="215">
        <f t="shared" si="18"/>
        <v>0</v>
      </c>
    </row>
    <row r="589" spans="1:10">
      <c r="A589" s="176"/>
      <c r="B589" s="178"/>
      <c r="C589" s="178" t="s">
        <v>50</v>
      </c>
      <c r="D589" s="178" t="s">
        <v>51</v>
      </c>
      <c r="E589" s="178" t="s">
        <v>51</v>
      </c>
      <c r="F589" s="178" t="s">
        <v>86</v>
      </c>
      <c r="G589" s="178"/>
      <c r="H589" s="178"/>
      <c r="I589" s="178">
        <v>5</v>
      </c>
      <c r="J589" s="215">
        <f t="shared" si="18"/>
        <v>0</v>
      </c>
    </row>
    <row r="590" spans="1:10">
      <c r="A590" s="176"/>
      <c r="B590" s="178"/>
      <c r="C590" s="178" t="s">
        <v>55</v>
      </c>
      <c r="D590" s="178" t="s">
        <v>56</v>
      </c>
      <c r="E590" s="178" t="s">
        <v>56</v>
      </c>
      <c r="F590" s="178" t="s">
        <v>65</v>
      </c>
      <c r="G590" s="178"/>
      <c r="H590" s="178"/>
      <c r="I590" s="178">
        <v>5</v>
      </c>
      <c r="J590" s="215">
        <f t="shared" si="18"/>
        <v>0</v>
      </c>
    </row>
    <row r="591" spans="1:10">
      <c r="A591" s="176"/>
      <c r="B591" s="178"/>
      <c r="C591" s="178" t="s">
        <v>151</v>
      </c>
      <c r="D591" s="178" t="s">
        <v>56</v>
      </c>
      <c r="E591" s="178" t="s">
        <v>56</v>
      </c>
      <c r="F591" s="178" t="s">
        <v>152</v>
      </c>
      <c r="G591" s="178"/>
      <c r="H591" s="178"/>
      <c r="I591" s="178">
        <v>1</v>
      </c>
      <c r="J591" s="215">
        <f t="shared" si="18"/>
        <v>0</v>
      </c>
    </row>
    <row r="592" ht="14.25" spans="1:10">
      <c r="A592" s="224" t="s">
        <v>513</v>
      </c>
      <c r="B592" s="225"/>
      <c r="C592" s="225"/>
      <c r="D592" s="225"/>
      <c r="E592" s="225"/>
      <c r="F592" s="225"/>
      <c r="G592" s="225"/>
      <c r="H592" s="225"/>
      <c r="I592" s="225"/>
      <c r="J592" s="226">
        <f>SUM(J576:J591)</f>
        <v>0</v>
      </c>
    </row>
    <row r="594" spans="1:10">
      <c r="A594" s="63" t="s">
        <v>17</v>
      </c>
      <c r="B594" s="64" t="s">
        <v>18</v>
      </c>
      <c r="C594" s="64" t="s">
        <v>105</v>
      </c>
      <c r="D594" s="64" t="s">
        <v>45</v>
      </c>
      <c r="E594" s="64" t="s">
        <v>21</v>
      </c>
      <c r="F594" s="206" t="s">
        <v>106</v>
      </c>
      <c r="G594" s="208"/>
      <c r="H594" s="208" t="s">
        <v>23</v>
      </c>
      <c r="I594" s="196" t="s">
        <v>107</v>
      </c>
      <c r="J594" s="50" t="s">
        <v>26</v>
      </c>
    </row>
    <row r="595" ht="14.25" spans="1:10">
      <c r="A595" s="63"/>
      <c r="B595" s="64"/>
      <c r="C595" s="64"/>
      <c r="D595" s="64"/>
      <c r="E595" s="64"/>
      <c r="F595" s="49"/>
      <c r="G595" s="210"/>
      <c r="H595" s="210"/>
      <c r="I595" s="6"/>
      <c r="J595" s="50"/>
    </row>
    <row r="596" spans="1:10">
      <c r="A596" s="171" t="s">
        <v>154</v>
      </c>
      <c r="B596" s="211" t="s">
        <v>514</v>
      </c>
      <c r="C596" s="173" t="s">
        <v>110</v>
      </c>
      <c r="D596" s="173" t="s">
        <v>32</v>
      </c>
      <c r="E596" s="173" t="s">
        <v>115</v>
      </c>
      <c r="F596" s="173" t="s">
        <v>515</v>
      </c>
      <c r="G596" s="173"/>
      <c r="H596" s="173"/>
      <c r="I596" s="201">
        <v>0.099</v>
      </c>
      <c r="J596" s="214">
        <f t="shared" ref="J596:J610" si="19">H596*I596</f>
        <v>0</v>
      </c>
    </row>
    <row r="597" spans="1:10">
      <c r="A597" s="176"/>
      <c r="B597" s="178"/>
      <c r="C597" s="178" t="s">
        <v>516</v>
      </c>
      <c r="D597" s="178" t="s">
        <v>32</v>
      </c>
      <c r="E597" s="178" t="s">
        <v>115</v>
      </c>
      <c r="F597" s="178" t="s">
        <v>517</v>
      </c>
      <c r="G597" s="178"/>
      <c r="H597" s="178"/>
      <c r="I597" s="203">
        <v>0.1056</v>
      </c>
      <c r="J597" s="215">
        <f t="shared" si="19"/>
        <v>0</v>
      </c>
    </row>
    <row r="598" spans="1:10">
      <c r="A598" s="176"/>
      <c r="B598" s="178"/>
      <c r="C598" s="178" t="s">
        <v>117</v>
      </c>
      <c r="D598" s="178" t="s">
        <v>32</v>
      </c>
      <c r="E598" s="178" t="s">
        <v>115</v>
      </c>
      <c r="F598" s="178" t="s">
        <v>518</v>
      </c>
      <c r="G598" s="178"/>
      <c r="H598" s="178"/>
      <c r="I598" s="203">
        <v>0.2178</v>
      </c>
      <c r="J598" s="215">
        <f t="shared" si="19"/>
        <v>0</v>
      </c>
    </row>
    <row r="599" spans="1:10">
      <c r="A599" s="176"/>
      <c r="B599" s="178"/>
      <c r="C599" s="178" t="s">
        <v>119</v>
      </c>
      <c r="D599" s="178" t="s">
        <v>32</v>
      </c>
      <c r="E599" s="178" t="s">
        <v>111</v>
      </c>
      <c r="F599" s="178" t="s">
        <v>519</v>
      </c>
      <c r="G599" s="178"/>
      <c r="H599" s="178"/>
      <c r="I599" s="203">
        <v>0.192</v>
      </c>
      <c r="J599" s="215">
        <f t="shared" si="19"/>
        <v>0</v>
      </c>
    </row>
    <row r="600" spans="1:10">
      <c r="A600" s="176"/>
      <c r="B600" s="178"/>
      <c r="C600" s="178" t="s">
        <v>121</v>
      </c>
      <c r="D600" s="178" t="s">
        <v>32</v>
      </c>
      <c r="E600" s="178" t="s">
        <v>115</v>
      </c>
      <c r="F600" s="178" t="s">
        <v>520</v>
      </c>
      <c r="G600" s="178"/>
      <c r="H600" s="178"/>
      <c r="I600" s="203">
        <v>0.1316</v>
      </c>
      <c r="J600" s="215">
        <f t="shared" si="19"/>
        <v>0</v>
      </c>
    </row>
    <row r="601" spans="1:10">
      <c r="A601" s="176"/>
      <c r="B601" s="178"/>
      <c r="C601" s="178" t="s">
        <v>123</v>
      </c>
      <c r="D601" s="178" t="s">
        <v>32</v>
      </c>
      <c r="E601" s="178" t="s">
        <v>115</v>
      </c>
      <c r="F601" s="178" t="s">
        <v>520</v>
      </c>
      <c r="G601" s="178"/>
      <c r="H601" s="178"/>
      <c r="I601" s="203">
        <v>0.1316</v>
      </c>
      <c r="J601" s="215">
        <f t="shared" si="19"/>
        <v>0</v>
      </c>
    </row>
    <row r="602" spans="1:10">
      <c r="A602" s="176"/>
      <c r="B602" s="178"/>
      <c r="C602" s="178" t="s">
        <v>124</v>
      </c>
      <c r="D602" s="178" t="s">
        <v>32</v>
      </c>
      <c r="E602" s="178" t="s">
        <v>115</v>
      </c>
      <c r="F602" s="178" t="s">
        <v>521</v>
      </c>
      <c r="G602" s="178"/>
      <c r="H602" s="178"/>
      <c r="I602" s="203">
        <v>0.055</v>
      </c>
      <c r="J602" s="215">
        <f t="shared" si="19"/>
        <v>0</v>
      </c>
    </row>
    <row r="603" spans="1:10">
      <c r="A603" s="176"/>
      <c r="B603" s="178"/>
      <c r="C603" s="178" t="s">
        <v>126</v>
      </c>
      <c r="D603" s="178" t="s">
        <v>32</v>
      </c>
      <c r="E603" s="178" t="s">
        <v>115</v>
      </c>
      <c r="F603" s="178" t="s">
        <v>521</v>
      </c>
      <c r="G603" s="178"/>
      <c r="H603" s="178"/>
      <c r="I603" s="203">
        <v>0.055</v>
      </c>
      <c r="J603" s="215">
        <f t="shared" si="19"/>
        <v>0</v>
      </c>
    </row>
    <row r="604" spans="1:10">
      <c r="A604" s="176"/>
      <c r="B604" s="178"/>
      <c r="C604" s="178" t="s">
        <v>127</v>
      </c>
      <c r="D604" s="178" t="s">
        <v>32</v>
      </c>
      <c r="E604" s="178" t="s">
        <v>115</v>
      </c>
      <c r="F604" s="178" t="s">
        <v>522</v>
      </c>
      <c r="G604" s="178"/>
      <c r="H604" s="178"/>
      <c r="I604" s="203">
        <v>0.1362</v>
      </c>
      <c r="J604" s="215">
        <f t="shared" si="19"/>
        <v>0</v>
      </c>
    </row>
    <row r="605" spans="1:10">
      <c r="A605" s="176"/>
      <c r="B605" s="178"/>
      <c r="C605" s="178" t="s">
        <v>114</v>
      </c>
      <c r="D605" s="178" t="s">
        <v>32</v>
      </c>
      <c r="E605" s="178" t="s">
        <v>115</v>
      </c>
      <c r="F605" s="178" t="s">
        <v>523</v>
      </c>
      <c r="G605" s="178"/>
      <c r="H605" s="178"/>
      <c r="I605" s="203">
        <v>0.1836</v>
      </c>
      <c r="J605" s="215">
        <f t="shared" si="19"/>
        <v>0</v>
      </c>
    </row>
    <row r="606" spans="1:10">
      <c r="A606" s="176"/>
      <c r="B606" s="178"/>
      <c r="C606" s="178" t="s">
        <v>223</v>
      </c>
      <c r="D606" s="178" t="s">
        <v>32</v>
      </c>
      <c r="E606" s="178" t="s">
        <v>115</v>
      </c>
      <c r="F606" s="178" t="s">
        <v>515</v>
      </c>
      <c r="G606" s="178"/>
      <c r="H606" s="178"/>
      <c r="I606" s="203">
        <v>0.099</v>
      </c>
      <c r="J606" s="215">
        <f t="shared" si="19"/>
        <v>0</v>
      </c>
    </row>
    <row r="607" spans="1:10">
      <c r="A607" s="176"/>
      <c r="B607" s="178"/>
      <c r="C607" s="178" t="s">
        <v>142</v>
      </c>
      <c r="D607" s="178" t="s">
        <v>32</v>
      </c>
      <c r="E607" s="178" t="s">
        <v>111</v>
      </c>
      <c r="F607" s="178" t="s">
        <v>524</v>
      </c>
      <c r="G607" s="178"/>
      <c r="H607" s="178"/>
      <c r="I607" s="203">
        <v>0.2436</v>
      </c>
      <c r="J607" s="215">
        <f t="shared" si="19"/>
        <v>0</v>
      </c>
    </row>
    <row r="608" spans="1:10">
      <c r="A608" s="176"/>
      <c r="B608" s="178"/>
      <c r="C608" s="178" t="s">
        <v>47</v>
      </c>
      <c r="D608" s="178" t="s">
        <v>48</v>
      </c>
      <c r="E608" s="178" t="s">
        <v>48</v>
      </c>
      <c r="F608" s="178" t="s">
        <v>49</v>
      </c>
      <c r="G608" s="178"/>
      <c r="H608" s="178"/>
      <c r="I608" s="178">
        <v>24</v>
      </c>
      <c r="J608" s="215">
        <f t="shared" si="19"/>
        <v>0</v>
      </c>
    </row>
    <row r="609" spans="1:10">
      <c r="A609" s="176"/>
      <c r="B609" s="178"/>
      <c r="C609" s="178" t="s">
        <v>53</v>
      </c>
      <c r="D609" s="178" t="s">
        <v>48</v>
      </c>
      <c r="E609" s="178" t="s">
        <v>48</v>
      </c>
      <c r="F609" s="178" t="s">
        <v>54</v>
      </c>
      <c r="G609" s="178"/>
      <c r="H609" s="178"/>
      <c r="I609" s="178">
        <v>1</v>
      </c>
      <c r="J609" s="215">
        <f t="shared" si="19"/>
        <v>0</v>
      </c>
    </row>
    <row r="610" spans="1:10">
      <c r="A610" s="176"/>
      <c r="B610" s="178"/>
      <c r="C610" s="178" t="s">
        <v>151</v>
      </c>
      <c r="D610" s="178" t="s">
        <v>56</v>
      </c>
      <c r="E610" s="178" t="s">
        <v>56</v>
      </c>
      <c r="F610" s="178" t="s">
        <v>152</v>
      </c>
      <c r="G610" s="178"/>
      <c r="H610" s="178"/>
      <c r="I610" s="178">
        <v>1</v>
      </c>
      <c r="J610" s="215">
        <f t="shared" si="19"/>
        <v>0</v>
      </c>
    </row>
    <row r="611" ht="14.25" spans="1:10">
      <c r="A611" s="224" t="s">
        <v>525</v>
      </c>
      <c r="B611" s="225"/>
      <c r="C611" s="225"/>
      <c r="D611" s="225"/>
      <c r="E611" s="225"/>
      <c r="F611" s="225"/>
      <c r="G611" s="225"/>
      <c r="H611" s="225"/>
      <c r="I611" s="225"/>
      <c r="J611" s="226">
        <f>SUM(J596:J610)</f>
        <v>0</v>
      </c>
    </row>
    <row r="613" spans="1:10">
      <c r="A613" s="63" t="s">
        <v>17</v>
      </c>
      <c r="B613" s="64" t="s">
        <v>18</v>
      </c>
      <c r="C613" s="64" t="s">
        <v>105</v>
      </c>
      <c r="D613" s="64" t="s">
        <v>45</v>
      </c>
      <c r="E613" s="64" t="s">
        <v>21</v>
      </c>
      <c r="F613" s="206" t="s">
        <v>106</v>
      </c>
      <c r="G613" s="208"/>
      <c r="H613" s="208" t="s">
        <v>23</v>
      </c>
      <c r="I613" s="196" t="s">
        <v>107</v>
      </c>
      <c r="J613" s="50" t="s">
        <v>26</v>
      </c>
    </row>
    <row r="614" ht="14.25" spans="1:10">
      <c r="A614" s="63"/>
      <c r="B614" s="64"/>
      <c r="C614" s="64"/>
      <c r="D614" s="64"/>
      <c r="E614" s="64"/>
      <c r="F614" s="49"/>
      <c r="G614" s="210"/>
      <c r="H614" s="210"/>
      <c r="I614" s="6"/>
      <c r="J614" s="50"/>
    </row>
    <row r="615" spans="1:10">
      <c r="A615" s="171" t="s">
        <v>196</v>
      </c>
      <c r="B615" s="211" t="s">
        <v>526</v>
      </c>
      <c r="C615" s="173" t="s">
        <v>110</v>
      </c>
      <c r="D615" s="173" t="s">
        <v>32</v>
      </c>
      <c r="E615" s="173" t="s">
        <v>115</v>
      </c>
      <c r="F615" s="173" t="s">
        <v>515</v>
      </c>
      <c r="G615" s="173"/>
      <c r="H615" s="173"/>
      <c r="I615" s="201">
        <v>0.099</v>
      </c>
      <c r="J615" s="214">
        <f t="shared" ref="J615:J624" si="20">H615*I615</f>
        <v>0</v>
      </c>
    </row>
    <row r="616" spans="1:10">
      <c r="A616" s="176"/>
      <c r="B616" s="178"/>
      <c r="C616" s="178" t="s">
        <v>516</v>
      </c>
      <c r="D616" s="178" t="s">
        <v>32</v>
      </c>
      <c r="E616" s="178" t="s">
        <v>115</v>
      </c>
      <c r="F616" s="178" t="s">
        <v>527</v>
      </c>
      <c r="G616" s="178"/>
      <c r="H616" s="178"/>
      <c r="I616" s="203">
        <v>0.1371</v>
      </c>
      <c r="J616" s="215">
        <f t="shared" si="20"/>
        <v>0</v>
      </c>
    </row>
    <row r="617" spans="1:10">
      <c r="A617" s="176"/>
      <c r="B617" s="178"/>
      <c r="C617" s="178" t="s">
        <v>117</v>
      </c>
      <c r="D617" s="178" t="s">
        <v>32</v>
      </c>
      <c r="E617" s="178" t="s">
        <v>115</v>
      </c>
      <c r="F617" s="178" t="s">
        <v>528</v>
      </c>
      <c r="G617" s="178"/>
      <c r="H617" s="178"/>
      <c r="I617" s="203">
        <v>0.2828</v>
      </c>
      <c r="J617" s="215">
        <f t="shared" si="20"/>
        <v>0</v>
      </c>
    </row>
    <row r="618" spans="1:10">
      <c r="A618" s="176"/>
      <c r="B618" s="178"/>
      <c r="C618" s="178" t="s">
        <v>114</v>
      </c>
      <c r="D618" s="178" t="s">
        <v>32</v>
      </c>
      <c r="E618" s="178" t="s">
        <v>115</v>
      </c>
      <c r="F618" s="178" t="s">
        <v>529</v>
      </c>
      <c r="G618" s="178"/>
      <c r="H618" s="178"/>
      <c r="I618" s="203">
        <v>0.2262</v>
      </c>
      <c r="J618" s="215">
        <f t="shared" si="20"/>
        <v>0</v>
      </c>
    </row>
    <row r="619" spans="1:10">
      <c r="A619" s="176"/>
      <c r="B619" s="178"/>
      <c r="C619" s="178" t="s">
        <v>223</v>
      </c>
      <c r="D619" s="178" t="s">
        <v>32</v>
      </c>
      <c r="E619" s="178" t="s">
        <v>115</v>
      </c>
      <c r="F619" s="178" t="s">
        <v>515</v>
      </c>
      <c r="G619" s="178"/>
      <c r="H619" s="178"/>
      <c r="I619" s="203">
        <v>0.099</v>
      </c>
      <c r="J619" s="215">
        <f t="shared" si="20"/>
        <v>0</v>
      </c>
    </row>
    <row r="620" spans="1:10">
      <c r="A620" s="176"/>
      <c r="B620" s="178"/>
      <c r="C620" s="178" t="s">
        <v>220</v>
      </c>
      <c r="D620" s="178" t="s">
        <v>32</v>
      </c>
      <c r="E620" s="178" t="s">
        <v>111</v>
      </c>
      <c r="F620" s="178" t="s">
        <v>530</v>
      </c>
      <c r="G620" s="178"/>
      <c r="H620" s="178"/>
      <c r="I620" s="203">
        <v>0.3126</v>
      </c>
      <c r="J620" s="215">
        <f t="shared" si="20"/>
        <v>0</v>
      </c>
    </row>
    <row r="621" spans="1:10">
      <c r="A621" s="176"/>
      <c r="B621" s="178"/>
      <c r="C621" s="178" t="s">
        <v>531</v>
      </c>
      <c r="D621" s="178" t="s">
        <v>32</v>
      </c>
      <c r="E621" s="178" t="s">
        <v>111</v>
      </c>
      <c r="F621" s="178" t="s">
        <v>532</v>
      </c>
      <c r="G621" s="178"/>
      <c r="H621" s="178"/>
      <c r="I621" s="203">
        <v>0.2465</v>
      </c>
      <c r="J621" s="215">
        <f t="shared" si="20"/>
        <v>0</v>
      </c>
    </row>
    <row r="622" spans="1:10">
      <c r="A622" s="176"/>
      <c r="B622" s="178"/>
      <c r="C622" s="178" t="s">
        <v>47</v>
      </c>
      <c r="D622" s="178" t="s">
        <v>48</v>
      </c>
      <c r="E622" s="178" t="s">
        <v>48</v>
      </c>
      <c r="F622" s="178" t="s">
        <v>49</v>
      </c>
      <c r="G622" s="178"/>
      <c r="H622" s="178"/>
      <c r="I622" s="178">
        <v>19</v>
      </c>
      <c r="J622" s="215">
        <f t="shared" si="20"/>
        <v>0</v>
      </c>
    </row>
    <row r="623" spans="1:10">
      <c r="A623" s="176"/>
      <c r="B623" s="178"/>
      <c r="C623" s="178" t="s">
        <v>55</v>
      </c>
      <c r="D623" s="178" t="s">
        <v>56</v>
      </c>
      <c r="E623" s="178" t="s">
        <v>56</v>
      </c>
      <c r="F623" s="178" t="s">
        <v>57</v>
      </c>
      <c r="G623" s="178"/>
      <c r="H623" s="178"/>
      <c r="I623" s="178">
        <v>2</v>
      </c>
      <c r="J623" s="215">
        <f t="shared" si="20"/>
        <v>0</v>
      </c>
    </row>
    <row r="624" spans="1:10">
      <c r="A624" s="176"/>
      <c r="B624" s="178"/>
      <c r="C624" s="178" t="s">
        <v>151</v>
      </c>
      <c r="D624" s="178" t="s">
        <v>56</v>
      </c>
      <c r="E624" s="178" t="s">
        <v>56</v>
      </c>
      <c r="F624" s="178" t="s">
        <v>152</v>
      </c>
      <c r="G624" s="178"/>
      <c r="H624" s="178"/>
      <c r="I624" s="178">
        <v>1</v>
      </c>
      <c r="J624" s="215">
        <f t="shared" si="20"/>
        <v>0</v>
      </c>
    </row>
    <row r="625" ht="14.25" spans="1:10">
      <c r="A625" s="224" t="s">
        <v>533</v>
      </c>
      <c r="B625" s="225"/>
      <c r="C625" s="225"/>
      <c r="D625" s="225"/>
      <c r="E625" s="225"/>
      <c r="F625" s="225"/>
      <c r="G625" s="225"/>
      <c r="H625" s="225"/>
      <c r="I625" s="225"/>
      <c r="J625" s="226">
        <f>SUM(J615:J624)</f>
        <v>0</v>
      </c>
    </row>
    <row r="627" spans="1:10">
      <c r="A627" s="63" t="s">
        <v>17</v>
      </c>
      <c r="B627" s="64" t="s">
        <v>18</v>
      </c>
      <c r="C627" s="64" t="s">
        <v>105</v>
      </c>
      <c r="D627" s="64" t="s">
        <v>45</v>
      </c>
      <c r="E627" s="64" t="s">
        <v>21</v>
      </c>
      <c r="F627" s="206" t="s">
        <v>106</v>
      </c>
      <c r="G627" s="208"/>
      <c r="H627" s="208" t="s">
        <v>23</v>
      </c>
      <c r="I627" s="196" t="s">
        <v>107</v>
      </c>
      <c r="J627" s="50" t="s">
        <v>26</v>
      </c>
    </row>
    <row r="628" ht="14.25" spans="1:10">
      <c r="A628" s="63"/>
      <c r="B628" s="64"/>
      <c r="C628" s="64"/>
      <c r="D628" s="64"/>
      <c r="E628" s="64"/>
      <c r="F628" s="49"/>
      <c r="G628" s="210"/>
      <c r="H628" s="210"/>
      <c r="I628" s="6"/>
      <c r="J628" s="50"/>
    </row>
    <row r="629" spans="1:10">
      <c r="A629" s="171" t="s">
        <v>211</v>
      </c>
      <c r="B629" s="211" t="s">
        <v>534</v>
      </c>
      <c r="C629" s="173" t="s">
        <v>110</v>
      </c>
      <c r="D629" s="173" t="s">
        <v>32</v>
      </c>
      <c r="E629" s="173" t="s">
        <v>115</v>
      </c>
      <c r="F629" s="173" t="s">
        <v>515</v>
      </c>
      <c r="G629" s="173"/>
      <c r="H629" s="173"/>
      <c r="I629" s="201">
        <v>0.099</v>
      </c>
      <c r="J629" s="214">
        <f t="shared" ref="J629:J649" si="21">H629*I629</f>
        <v>0</v>
      </c>
    </row>
    <row r="630" spans="1:10">
      <c r="A630" s="176"/>
      <c r="B630" s="178"/>
      <c r="C630" s="178" t="s">
        <v>516</v>
      </c>
      <c r="D630" s="178" t="s">
        <v>32</v>
      </c>
      <c r="E630" s="178" t="s">
        <v>115</v>
      </c>
      <c r="F630" s="178" t="s">
        <v>535</v>
      </c>
      <c r="G630" s="178"/>
      <c r="H630" s="178"/>
      <c r="I630" s="203">
        <v>0.22</v>
      </c>
      <c r="J630" s="215">
        <f t="shared" si="21"/>
        <v>0</v>
      </c>
    </row>
    <row r="631" spans="1:10">
      <c r="A631" s="176"/>
      <c r="B631" s="178"/>
      <c r="C631" s="178" t="s">
        <v>117</v>
      </c>
      <c r="D631" s="178" t="s">
        <v>32</v>
      </c>
      <c r="E631" s="178" t="s">
        <v>115</v>
      </c>
      <c r="F631" s="178" t="s">
        <v>536</v>
      </c>
      <c r="G631" s="178"/>
      <c r="H631" s="178"/>
      <c r="I631" s="203">
        <v>0.4538</v>
      </c>
      <c r="J631" s="215">
        <f t="shared" si="21"/>
        <v>0</v>
      </c>
    </row>
    <row r="632" spans="1:10">
      <c r="A632" s="176"/>
      <c r="B632" s="178"/>
      <c r="C632" s="178" t="s">
        <v>119</v>
      </c>
      <c r="D632" s="178" t="s">
        <v>32</v>
      </c>
      <c r="E632" s="178" t="s">
        <v>111</v>
      </c>
      <c r="F632" s="178" t="s">
        <v>537</v>
      </c>
      <c r="G632" s="178"/>
      <c r="H632" s="178"/>
      <c r="I632" s="203">
        <v>0.1922</v>
      </c>
      <c r="J632" s="215">
        <f t="shared" si="21"/>
        <v>0</v>
      </c>
    </row>
    <row r="633" spans="1:10">
      <c r="A633" s="176"/>
      <c r="B633" s="178"/>
      <c r="C633" s="178" t="s">
        <v>121</v>
      </c>
      <c r="D633" s="178" t="s">
        <v>32</v>
      </c>
      <c r="E633" s="178" t="s">
        <v>115</v>
      </c>
      <c r="F633" s="178" t="s">
        <v>538</v>
      </c>
      <c r="G633" s="178"/>
      <c r="H633" s="178"/>
      <c r="I633" s="203">
        <v>0.1338</v>
      </c>
      <c r="J633" s="215">
        <f t="shared" si="21"/>
        <v>0</v>
      </c>
    </row>
    <row r="634" spans="1:10">
      <c r="A634" s="176"/>
      <c r="B634" s="178"/>
      <c r="C634" s="178" t="s">
        <v>123</v>
      </c>
      <c r="D634" s="178" t="s">
        <v>32</v>
      </c>
      <c r="E634" s="178" t="s">
        <v>115</v>
      </c>
      <c r="F634" s="178" t="s">
        <v>538</v>
      </c>
      <c r="G634" s="178"/>
      <c r="H634" s="178"/>
      <c r="I634" s="203">
        <v>0.1338</v>
      </c>
      <c r="J634" s="215">
        <f t="shared" si="21"/>
        <v>0</v>
      </c>
    </row>
    <row r="635" spans="1:10">
      <c r="A635" s="176"/>
      <c r="B635" s="178"/>
      <c r="C635" s="178" t="s">
        <v>124</v>
      </c>
      <c r="D635" s="178" t="s">
        <v>32</v>
      </c>
      <c r="E635" s="178" t="s">
        <v>115</v>
      </c>
      <c r="F635" s="178" t="s">
        <v>521</v>
      </c>
      <c r="G635" s="178"/>
      <c r="H635" s="178"/>
      <c r="I635" s="203">
        <v>0.11</v>
      </c>
      <c r="J635" s="215">
        <f t="shared" si="21"/>
        <v>0</v>
      </c>
    </row>
    <row r="636" spans="1:10">
      <c r="A636" s="176"/>
      <c r="B636" s="178"/>
      <c r="C636" s="178" t="s">
        <v>126</v>
      </c>
      <c r="D636" s="178" t="s">
        <v>32</v>
      </c>
      <c r="E636" s="178" t="s">
        <v>115</v>
      </c>
      <c r="F636" s="178" t="s">
        <v>521</v>
      </c>
      <c r="G636" s="178"/>
      <c r="H636" s="178"/>
      <c r="I636" s="203">
        <v>0.11</v>
      </c>
      <c r="J636" s="215">
        <f t="shared" si="21"/>
        <v>0</v>
      </c>
    </row>
    <row r="637" spans="1:10">
      <c r="A637" s="176"/>
      <c r="B637" s="178"/>
      <c r="C637" s="178" t="s">
        <v>127</v>
      </c>
      <c r="D637" s="178" t="s">
        <v>32</v>
      </c>
      <c r="E637" s="178" t="s">
        <v>115</v>
      </c>
      <c r="F637" s="178" t="s">
        <v>539</v>
      </c>
      <c r="G637" s="178"/>
      <c r="H637" s="178"/>
      <c r="I637" s="203">
        <v>0.1384</v>
      </c>
      <c r="J637" s="215">
        <f t="shared" si="21"/>
        <v>0</v>
      </c>
    </row>
    <row r="638" spans="1:10">
      <c r="A638" s="176"/>
      <c r="B638" s="178"/>
      <c r="C638" s="178" t="s">
        <v>114</v>
      </c>
      <c r="D638" s="178" t="s">
        <v>32</v>
      </c>
      <c r="E638" s="178" t="s">
        <v>115</v>
      </c>
      <c r="F638" s="178" t="s">
        <v>540</v>
      </c>
      <c r="G638" s="178"/>
      <c r="H638" s="178"/>
      <c r="I638" s="203">
        <v>0.1863</v>
      </c>
      <c r="J638" s="215">
        <f t="shared" si="21"/>
        <v>0</v>
      </c>
    </row>
    <row r="639" spans="1:10">
      <c r="A639" s="176"/>
      <c r="B639" s="178"/>
      <c r="C639" s="178" t="s">
        <v>221</v>
      </c>
      <c r="D639" s="178" t="s">
        <v>32</v>
      </c>
      <c r="E639" s="178" t="s">
        <v>115</v>
      </c>
      <c r="F639" s="178" t="s">
        <v>541</v>
      </c>
      <c r="G639" s="178"/>
      <c r="H639" s="178"/>
      <c r="I639" s="203">
        <v>0.0871</v>
      </c>
      <c r="J639" s="215">
        <f t="shared" si="21"/>
        <v>0</v>
      </c>
    </row>
    <row r="640" spans="1:10">
      <c r="A640" s="176"/>
      <c r="B640" s="178"/>
      <c r="C640" s="178" t="s">
        <v>119</v>
      </c>
      <c r="D640" s="178" t="s">
        <v>32</v>
      </c>
      <c r="E640" s="178" t="s">
        <v>111</v>
      </c>
      <c r="F640" s="178" t="s">
        <v>519</v>
      </c>
      <c r="G640" s="178"/>
      <c r="H640" s="178"/>
      <c r="I640" s="203">
        <v>0.192</v>
      </c>
      <c r="J640" s="215">
        <f t="shared" si="21"/>
        <v>0</v>
      </c>
    </row>
    <row r="641" spans="1:10">
      <c r="A641" s="176"/>
      <c r="B641" s="178"/>
      <c r="C641" s="178" t="s">
        <v>121</v>
      </c>
      <c r="D641" s="178" t="s">
        <v>32</v>
      </c>
      <c r="E641" s="178" t="s">
        <v>115</v>
      </c>
      <c r="F641" s="178" t="s">
        <v>542</v>
      </c>
      <c r="G641" s="178"/>
      <c r="H641" s="178"/>
      <c r="I641" s="203">
        <v>0.1375</v>
      </c>
      <c r="J641" s="215">
        <f t="shared" si="21"/>
        <v>0</v>
      </c>
    </row>
    <row r="642" spans="1:10">
      <c r="A642" s="176"/>
      <c r="B642" s="178"/>
      <c r="C642" s="178" t="s">
        <v>123</v>
      </c>
      <c r="D642" s="178" t="s">
        <v>32</v>
      </c>
      <c r="E642" s="178" t="s">
        <v>115</v>
      </c>
      <c r="F642" s="178" t="s">
        <v>542</v>
      </c>
      <c r="G642" s="178"/>
      <c r="H642" s="178"/>
      <c r="I642" s="203">
        <v>0.1375</v>
      </c>
      <c r="J642" s="215">
        <f t="shared" si="21"/>
        <v>0</v>
      </c>
    </row>
    <row r="643" spans="1:10">
      <c r="A643" s="176"/>
      <c r="B643" s="178"/>
      <c r="C643" s="178" t="s">
        <v>127</v>
      </c>
      <c r="D643" s="178" t="s">
        <v>32</v>
      </c>
      <c r="E643" s="178" t="s">
        <v>115</v>
      </c>
      <c r="F643" s="178" t="s">
        <v>543</v>
      </c>
      <c r="G643" s="178"/>
      <c r="H643" s="178"/>
      <c r="I643" s="203">
        <v>0.1422</v>
      </c>
      <c r="J643" s="215">
        <f t="shared" si="21"/>
        <v>0</v>
      </c>
    </row>
    <row r="644" spans="1:10">
      <c r="A644" s="176"/>
      <c r="B644" s="178"/>
      <c r="C644" s="178" t="s">
        <v>114</v>
      </c>
      <c r="D644" s="178" t="s">
        <v>32</v>
      </c>
      <c r="E644" s="178" t="s">
        <v>115</v>
      </c>
      <c r="F644" s="178" t="s">
        <v>544</v>
      </c>
      <c r="G644" s="178"/>
      <c r="H644" s="178"/>
      <c r="I644" s="203">
        <v>0.191</v>
      </c>
      <c r="J644" s="215">
        <f t="shared" si="21"/>
        <v>0</v>
      </c>
    </row>
    <row r="645" spans="1:10">
      <c r="A645" s="176"/>
      <c r="B645" s="178"/>
      <c r="C645" s="178" t="s">
        <v>223</v>
      </c>
      <c r="D645" s="178" t="s">
        <v>32</v>
      </c>
      <c r="E645" s="178" t="s">
        <v>111</v>
      </c>
      <c r="F645" s="178" t="s">
        <v>545</v>
      </c>
      <c r="G645" s="178"/>
      <c r="H645" s="178"/>
      <c r="I645" s="203">
        <v>0.105</v>
      </c>
      <c r="J645" s="215">
        <f t="shared" si="21"/>
        <v>0</v>
      </c>
    </row>
    <row r="646" spans="1:10">
      <c r="A646" s="176"/>
      <c r="B646" s="178"/>
      <c r="C646" s="178" t="s">
        <v>142</v>
      </c>
      <c r="D646" s="178" t="s">
        <v>32</v>
      </c>
      <c r="E646" s="178" t="s">
        <v>111</v>
      </c>
      <c r="F646" s="178" t="s">
        <v>546</v>
      </c>
      <c r="G646" s="178"/>
      <c r="H646" s="178"/>
      <c r="I646" s="203">
        <v>0.4938</v>
      </c>
      <c r="J646" s="215">
        <f t="shared" si="21"/>
        <v>0</v>
      </c>
    </row>
    <row r="647" spans="1:10">
      <c r="A647" s="176"/>
      <c r="B647" s="178"/>
      <c r="C647" s="178" t="s">
        <v>47</v>
      </c>
      <c r="D647" s="178" t="s">
        <v>48</v>
      </c>
      <c r="E647" s="178" t="s">
        <v>48</v>
      </c>
      <c r="F647" s="178" t="s">
        <v>49</v>
      </c>
      <c r="G647" s="178"/>
      <c r="H647" s="178"/>
      <c r="I647" s="178">
        <v>36</v>
      </c>
      <c r="J647" s="215">
        <f t="shared" si="21"/>
        <v>0</v>
      </c>
    </row>
    <row r="648" spans="1:10">
      <c r="A648" s="176"/>
      <c r="B648" s="178"/>
      <c r="C648" s="178" t="s">
        <v>53</v>
      </c>
      <c r="D648" s="178" t="s">
        <v>48</v>
      </c>
      <c r="E648" s="178" t="s">
        <v>48</v>
      </c>
      <c r="F648" s="178" t="s">
        <v>54</v>
      </c>
      <c r="G648" s="178"/>
      <c r="H648" s="178"/>
      <c r="I648" s="178">
        <v>2</v>
      </c>
      <c r="J648" s="215">
        <f t="shared" si="21"/>
        <v>0</v>
      </c>
    </row>
    <row r="649" spans="1:10">
      <c r="A649" s="176"/>
      <c r="B649" s="178"/>
      <c r="C649" s="178" t="s">
        <v>151</v>
      </c>
      <c r="D649" s="178" t="s">
        <v>56</v>
      </c>
      <c r="E649" s="178" t="s">
        <v>56</v>
      </c>
      <c r="F649" s="178" t="s">
        <v>152</v>
      </c>
      <c r="G649" s="178"/>
      <c r="H649" s="178"/>
      <c r="I649" s="178">
        <v>2</v>
      </c>
      <c r="J649" s="215">
        <f t="shared" si="21"/>
        <v>0</v>
      </c>
    </row>
    <row r="650" ht="14.25" spans="1:10">
      <c r="A650" s="224" t="s">
        <v>547</v>
      </c>
      <c r="B650" s="225"/>
      <c r="C650" s="225"/>
      <c r="D650" s="225"/>
      <c r="E650" s="225"/>
      <c r="F650" s="225"/>
      <c r="G650" s="225"/>
      <c r="H650" s="225"/>
      <c r="I650" s="225"/>
      <c r="J650" s="226">
        <f>SUM(J629:J649)</f>
        <v>0</v>
      </c>
    </row>
    <row r="651" ht="14.25"/>
    <row r="652" ht="14.25" spans="1:10">
      <c r="A652" s="218" t="s">
        <v>98</v>
      </c>
      <c r="B652" s="219"/>
      <c r="C652" s="219"/>
      <c r="D652" s="219"/>
      <c r="E652" s="219"/>
      <c r="F652" s="219"/>
      <c r="G652" s="219"/>
      <c r="H652" s="219"/>
      <c r="I652" s="219"/>
      <c r="J652" s="227">
        <f>SUM(J38,J92,J114,J126,J144,J173,J191,J223,J249,J283,J315,J343,J350,J394,J418,J445,J486,J526,J572,J592,J611,J625,J650)</f>
        <v>0</v>
      </c>
    </row>
  </sheetData>
  <mergeCells count="842">
    <mergeCell ref="A1:J1"/>
    <mergeCell ref="B2:C2"/>
    <mergeCell ref="E2:G2"/>
    <mergeCell ref="I2:J2"/>
    <mergeCell ref="B3:C3"/>
    <mergeCell ref="E3:G3"/>
    <mergeCell ref="I3:J3"/>
    <mergeCell ref="B4:C4"/>
    <mergeCell ref="E4:G4"/>
    <mergeCell ref="I4:J4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A38:I38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A92:I92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A114:I114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A126:I126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A144:I144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A173:I173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A191:I191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A223:I223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A249:I249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A283:I283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A315:I315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A343:I343"/>
    <mergeCell ref="F347:G347"/>
    <mergeCell ref="F348:G348"/>
    <mergeCell ref="F349:G349"/>
    <mergeCell ref="A350:I350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A394:I394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A418:I418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A445:I445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A486:I486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A526:I526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A572:I572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A592:I592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A611:I611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A625:I625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A650:I650"/>
    <mergeCell ref="A652:I652"/>
    <mergeCell ref="A5:A6"/>
    <mergeCell ref="A7:A37"/>
    <mergeCell ref="A40:A41"/>
    <mergeCell ref="A42:A91"/>
    <mergeCell ref="A94:A95"/>
    <mergeCell ref="A96:A113"/>
    <mergeCell ref="A116:A117"/>
    <mergeCell ref="A118:A125"/>
    <mergeCell ref="A128:A129"/>
    <mergeCell ref="A130:A143"/>
    <mergeCell ref="A146:A147"/>
    <mergeCell ref="A148:A172"/>
    <mergeCell ref="A175:A176"/>
    <mergeCell ref="A177:A190"/>
    <mergeCell ref="A193:A194"/>
    <mergeCell ref="A195:A222"/>
    <mergeCell ref="A225:A226"/>
    <mergeCell ref="A227:A248"/>
    <mergeCell ref="A251:A252"/>
    <mergeCell ref="A253:A282"/>
    <mergeCell ref="A285:A286"/>
    <mergeCell ref="A287:A314"/>
    <mergeCell ref="A317:A318"/>
    <mergeCell ref="A319:A342"/>
    <mergeCell ref="A345:A346"/>
    <mergeCell ref="A347:A349"/>
    <mergeCell ref="A352:A353"/>
    <mergeCell ref="A354:A393"/>
    <mergeCell ref="A396:A397"/>
    <mergeCell ref="A398:A417"/>
    <mergeCell ref="A420:A421"/>
    <mergeCell ref="A422:A444"/>
    <mergeCell ref="A447:A448"/>
    <mergeCell ref="A449:A485"/>
    <mergeCell ref="A488:A489"/>
    <mergeCell ref="A490:A525"/>
    <mergeCell ref="A528:A529"/>
    <mergeCell ref="A530:A571"/>
    <mergeCell ref="A574:A575"/>
    <mergeCell ref="A576:A591"/>
    <mergeCell ref="A594:A595"/>
    <mergeCell ref="A596:A610"/>
    <mergeCell ref="A613:A614"/>
    <mergeCell ref="A615:A624"/>
    <mergeCell ref="A627:A628"/>
    <mergeCell ref="A629:A649"/>
    <mergeCell ref="B5:B6"/>
    <mergeCell ref="B7:B37"/>
    <mergeCell ref="B40:B41"/>
    <mergeCell ref="B42:B91"/>
    <mergeCell ref="B94:B95"/>
    <mergeCell ref="B96:B113"/>
    <mergeCell ref="B116:B117"/>
    <mergeCell ref="B118:B125"/>
    <mergeCell ref="B128:B129"/>
    <mergeCell ref="B130:B143"/>
    <mergeCell ref="B146:B147"/>
    <mergeCell ref="B148:B172"/>
    <mergeCell ref="B175:B176"/>
    <mergeCell ref="B177:B190"/>
    <mergeCell ref="B193:B194"/>
    <mergeCell ref="B195:B222"/>
    <mergeCell ref="B225:B226"/>
    <mergeCell ref="B227:B248"/>
    <mergeCell ref="B251:B252"/>
    <mergeCell ref="B253:B282"/>
    <mergeCell ref="B285:B286"/>
    <mergeCell ref="B287:B314"/>
    <mergeCell ref="B317:B318"/>
    <mergeCell ref="B319:B342"/>
    <mergeCell ref="B345:B346"/>
    <mergeCell ref="B347:B349"/>
    <mergeCell ref="B352:B353"/>
    <mergeCell ref="B354:B393"/>
    <mergeCell ref="B396:B397"/>
    <mergeCell ref="B398:B417"/>
    <mergeCell ref="B420:B421"/>
    <mergeCell ref="B422:B444"/>
    <mergeCell ref="B447:B448"/>
    <mergeCell ref="B449:B485"/>
    <mergeCell ref="B488:B489"/>
    <mergeCell ref="B490:B525"/>
    <mergeCell ref="B528:B529"/>
    <mergeCell ref="B530:B571"/>
    <mergeCell ref="B574:B575"/>
    <mergeCell ref="B576:B591"/>
    <mergeCell ref="B594:B595"/>
    <mergeCell ref="B596:B610"/>
    <mergeCell ref="B613:B614"/>
    <mergeCell ref="B615:B624"/>
    <mergeCell ref="B627:B628"/>
    <mergeCell ref="B629:B649"/>
    <mergeCell ref="C5:C6"/>
    <mergeCell ref="C40:C41"/>
    <mergeCell ref="C94:C95"/>
    <mergeCell ref="C116:C117"/>
    <mergeCell ref="C128:C129"/>
    <mergeCell ref="C146:C147"/>
    <mergeCell ref="C175:C176"/>
    <mergeCell ref="C193:C194"/>
    <mergeCell ref="C225:C226"/>
    <mergeCell ref="C251:C252"/>
    <mergeCell ref="C285:C286"/>
    <mergeCell ref="C317:C318"/>
    <mergeCell ref="C345:C346"/>
    <mergeCell ref="C352:C353"/>
    <mergeCell ref="C396:C397"/>
    <mergeCell ref="C420:C421"/>
    <mergeCell ref="C447:C448"/>
    <mergeCell ref="C488:C489"/>
    <mergeCell ref="C528:C529"/>
    <mergeCell ref="C574:C575"/>
    <mergeCell ref="C594:C595"/>
    <mergeCell ref="C613:C614"/>
    <mergeCell ref="C627:C628"/>
    <mergeCell ref="D5:D6"/>
    <mergeCell ref="D40:D41"/>
    <mergeCell ref="D94:D95"/>
    <mergeCell ref="D116:D117"/>
    <mergeCell ref="D128:D129"/>
    <mergeCell ref="D146:D147"/>
    <mergeCell ref="D175:D176"/>
    <mergeCell ref="D193:D194"/>
    <mergeCell ref="D225:D226"/>
    <mergeCell ref="D251:D252"/>
    <mergeCell ref="D285:D286"/>
    <mergeCell ref="D317:D318"/>
    <mergeCell ref="D345:D346"/>
    <mergeCell ref="D352:D353"/>
    <mergeCell ref="D396:D397"/>
    <mergeCell ref="D420:D421"/>
    <mergeCell ref="D447:D448"/>
    <mergeCell ref="D488:D489"/>
    <mergeCell ref="D528:D529"/>
    <mergeCell ref="D574:D575"/>
    <mergeCell ref="D594:D595"/>
    <mergeCell ref="D613:D614"/>
    <mergeCell ref="D627:D628"/>
    <mergeCell ref="E5:E6"/>
    <mergeCell ref="E40:E41"/>
    <mergeCell ref="E94:E95"/>
    <mergeCell ref="E116:E117"/>
    <mergeCell ref="E128:E129"/>
    <mergeCell ref="E146:E147"/>
    <mergeCell ref="E175:E176"/>
    <mergeCell ref="E193:E194"/>
    <mergeCell ref="E225:E226"/>
    <mergeCell ref="E251:E252"/>
    <mergeCell ref="E285:E286"/>
    <mergeCell ref="E317:E318"/>
    <mergeCell ref="E345:E346"/>
    <mergeCell ref="E352:E353"/>
    <mergeCell ref="E396:E397"/>
    <mergeCell ref="E420:E421"/>
    <mergeCell ref="E447:E448"/>
    <mergeCell ref="E488:E489"/>
    <mergeCell ref="E528:E529"/>
    <mergeCell ref="E574:E575"/>
    <mergeCell ref="E594:E595"/>
    <mergeCell ref="E613:E614"/>
    <mergeCell ref="E627:E628"/>
    <mergeCell ref="H5:H6"/>
    <mergeCell ref="H40:H41"/>
    <mergeCell ref="H94:H95"/>
    <mergeCell ref="H116:H117"/>
    <mergeCell ref="H128:H129"/>
    <mergeCell ref="H146:H147"/>
    <mergeCell ref="H175:H176"/>
    <mergeCell ref="H193:H194"/>
    <mergeCell ref="H225:H226"/>
    <mergeCell ref="H251:H252"/>
    <mergeCell ref="H285:H286"/>
    <mergeCell ref="H317:H318"/>
    <mergeCell ref="H345:H346"/>
    <mergeCell ref="H352:H353"/>
    <mergeCell ref="H396:H397"/>
    <mergeCell ref="H420:H421"/>
    <mergeCell ref="H447:H448"/>
    <mergeCell ref="H488:H489"/>
    <mergeCell ref="H528:H529"/>
    <mergeCell ref="H574:H575"/>
    <mergeCell ref="H594:H595"/>
    <mergeCell ref="H613:H614"/>
    <mergeCell ref="H627:H628"/>
    <mergeCell ref="I5:I6"/>
    <mergeCell ref="I40:I41"/>
    <mergeCell ref="I94:I95"/>
    <mergeCell ref="I116:I117"/>
    <mergeCell ref="I128:I129"/>
    <mergeCell ref="I146:I147"/>
    <mergeCell ref="I175:I176"/>
    <mergeCell ref="I193:I194"/>
    <mergeCell ref="I225:I226"/>
    <mergeCell ref="I251:I252"/>
    <mergeCell ref="I285:I286"/>
    <mergeCell ref="I317:I318"/>
    <mergeCell ref="I345:I346"/>
    <mergeCell ref="I352:I353"/>
    <mergeCell ref="I396:I397"/>
    <mergeCell ref="I420:I421"/>
    <mergeCell ref="I447:I448"/>
    <mergeCell ref="I488:I489"/>
    <mergeCell ref="I528:I529"/>
    <mergeCell ref="I574:I575"/>
    <mergeCell ref="I594:I595"/>
    <mergeCell ref="I613:I614"/>
    <mergeCell ref="I627:I628"/>
    <mergeCell ref="J5:J6"/>
    <mergeCell ref="J40:J41"/>
    <mergeCell ref="J94:J95"/>
    <mergeCell ref="J116:J117"/>
    <mergeCell ref="J128:J129"/>
    <mergeCell ref="J146:J147"/>
    <mergeCell ref="J175:J176"/>
    <mergeCell ref="J193:J194"/>
    <mergeCell ref="J225:J226"/>
    <mergeCell ref="J251:J252"/>
    <mergeCell ref="J285:J286"/>
    <mergeCell ref="J317:J318"/>
    <mergeCell ref="J345:J346"/>
    <mergeCell ref="J352:J353"/>
    <mergeCell ref="J396:J397"/>
    <mergeCell ref="J420:J421"/>
    <mergeCell ref="J447:J448"/>
    <mergeCell ref="J488:J489"/>
    <mergeCell ref="J528:J529"/>
    <mergeCell ref="J574:J575"/>
    <mergeCell ref="J594:J595"/>
    <mergeCell ref="J613:J614"/>
    <mergeCell ref="J627:J628"/>
    <mergeCell ref="F5:G6"/>
    <mergeCell ref="F40:G41"/>
    <mergeCell ref="F94:G95"/>
    <mergeCell ref="F116:G117"/>
    <mergeCell ref="F128:G129"/>
    <mergeCell ref="F146:G147"/>
    <mergeCell ref="F175:G176"/>
    <mergeCell ref="F193:G194"/>
    <mergeCell ref="F225:G226"/>
    <mergeCell ref="F251:G252"/>
    <mergeCell ref="F285:G286"/>
    <mergeCell ref="F317:G318"/>
    <mergeCell ref="F345:G346"/>
    <mergeCell ref="F352:G353"/>
    <mergeCell ref="F396:G397"/>
    <mergeCell ref="F420:G421"/>
    <mergeCell ref="F447:G448"/>
    <mergeCell ref="F488:G489"/>
    <mergeCell ref="F528:G529"/>
    <mergeCell ref="F574:G575"/>
    <mergeCell ref="F594:G595"/>
    <mergeCell ref="F613:G614"/>
    <mergeCell ref="F627:G628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9"/>
  </sheetPr>
  <dimension ref="A1:J608"/>
  <sheetViews>
    <sheetView zoomScale="110" zoomScaleNormal="110" zoomScaleSheetLayoutView="110" workbookViewId="0">
      <selection activeCell="L9" sqref="L9"/>
    </sheetView>
  </sheetViews>
  <sheetFormatPr defaultColWidth="9" defaultRowHeight="13.5"/>
  <cols>
    <col min="1" max="1" width="4.63333333333333" style="89" customWidth="1"/>
    <col min="2" max="3" width="15.6333333333333" style="89" customWidth="1"/>
    <col min="4" max="4" width="7.63333333333333" style="89" customWidth="1"/>
    <col min="5" max="5" width="14.6333333333333" style="89" customWidth="1"/>
    <col min="6" max="6" width="6.63333333333333" style="89" customWidth="1"/>
    <col min="7" max="7" width="7.63333333333333" style="89" customWidth="1"/>
    <col min="8" max="9" width="6.63333333333333" style="89" customWidth="1"/>
    <col min="10" max="10" width="10.6333333333333" style="89" customWidth="1"/>
    <col min="11" max="16384" width="9" style="89" customWidth="1"/>
  </cols>
  <sheetData>
    <row r="1" ht="35.15" customHeight="1" spans="1:10">
      <c r="A1" s="26" t="s">
        <v>548</v>
      </c>
      <c r="B1" s="27"/>
      <c r="C1" s="27"/>
      <c r="D1" s="27"/>
      <c r="E1" s="27"/>
      <c r="F1" s="27"/>
      <c r="G1" s="27"/>
      <c r="H1" s="27"/>
      <c r="I1" s="27"/>
      <c r="J1" s="29"/>
    </row>
    <row r="2" spans="1:10">
      <c r="A2" s="58" t="s">
        <v>1</v>
      </c>
      <c r="B2" s="252" t="s">
        <v>2</v>
      </c>
      <c r="C2" s="90"/>
      <c r="D2" s="61" t="s">
        <v>3</v>
      </c>
      <c r="E2" s="4" t="s">
        <v>4</v>
      </c>
      <c r="F2" s="5"/>
      <c r="G2" s="61" t="s">
        <v>5</v>
      </c>
      <c r="H2" s="4" t="s">
        <v>6</v>
      </c>
      <c r="I2" s="21"/>
      <c r="J2" s="22"/>
    </row>
    <row r="3" spans="1:10">
      <c r="A3" s="91" t="s">
        <v>7</v>
      </c>
      <c r="B3" s="92" t="s">
        <v>8</v>
      </c>
      <c r="C3" s="92"/>
      <c r="D3" s="93" t="s">
        <v>9</v>
      </c>
      <c r="E3" s="94" t="s">
        <v>10</v>
      </c>
      <c r="F3" s="95"/>
      <c r="G3" s="93" t="s">
        <v>11</v>
      </c>
      <c r="H3" s="94" t="s">
        <v>4</v>
      </c>
      <c r="I3" s="102"/>
      <c r="J3" s="103"/>
    </row>
    <row r="4" ht="14.25" spans="1:10">
      <c r="A4" s="96" t="s">
        <v>12</v>
      </c>
      <c r="B4" s="97" t="s">
        <v>13</v>
      </c>
      <c r="C4" s="97"/>
      <c r="D4" s="98" t="s">
        <v>14</v>
      </c>
      <c r="E4" s="99" t="s">
        <v>4</v>
      </c>
      <c r="F4" s="100"/>
      <c r="G4" s="98" t="s">
        <v>15</v>
      </c>
      <c r="H4" s="99" t="s">
        <v>4</v>
      </c>
      <c r="I4" s="104"/>
      <c r="J4" s="105"/>
    </row>
    <row r="5" ht="21.95" customHeight="1" spans="1:10">
      <c r="A5" s="221" t="s">
        <v>549</v>
      </c>
      <c r="B5" s="222"/>
      <c r="C5" s="222"/>
      <c r="D5" s="222"/>
      <c r="E5" s="222"/>
      <c r="F5" s="222"/>
      <c r="G5" s="222"/>
      <c r="H5" s="222"/>
      <c r="I5" s="222"/>
      <c r="J5" s="223"/>
    </row>
    <row r="6" spans="1:10">
      <c r="A6" s="63" t="s">
        <v>17</v>
      </c>
      <c r="B6" s="64" t="s">
        <v>18</v>
      </c>
      <c r="C6" s="64" t="s">
        <v>19</v>
      </c>
      <c r="D6" s="64" t="s">
        <v>20</v>
      </c>
      <c r="E6" s="64" t="s">
        <v>21</v>
      </c>
      <c r="F6" s="64" t="s">
        <v>22</v>
      </c>
      <c r="G6" s="64"/>
      <c r="H6" s="64"/>
      <c r="I6" s="64" t="s">
        <v>24</v>
      </c>
      <c r="J6" s="50" t="s">
        <v>550</v>
      </c>
    </row>
    <row r="7" ht="14.25" spans="1:10">
      <c r="A7" s="63"/>
      <c r="B7" s="64"/>
      <c r="C7" s="64"/>
      <c r="D7" s="64"/>
      <c r="E7" s="64"/>
      <c r="F7" s="64" t="s">
        <v>27</v>
      </c>
      <c r="G7" s="64" t="s">
        <v>28</v>
      </c>
      <c r="H7" s="64" t="s">
        <v>29</v>
      </c>
      <c r="I7" s="64"/>
      <c r="J7" s="50"/>
    </row>
    <row r="8" spans="1:10">
      <c r="A8" s="171">
        <v>1</v>
      </c>
      <c r="B8" s="173" t="s">
        <v>551</v>
      </c>
      <c r="C8" s="173" t="s">
        <v>110</v>
      </c>
      <c r="D8" s="173" t="s">
        <v>32</v>
      </c>
      <c r="E8" s="173" t="s">
        <v>111</v>
      </c>
      <c r="F8" s="173">
        <v>2420</v>
      </c>
      <c r="G8" s="173">
        <v>150</v>
      </c>
      <c r="H8" s="173">
        <v>18</v>
      </c>
      <c r="I8" s="173">
        <v>1</v>
      </c>
      <c r="J8" s="214">
        <v>0.363</v>
      </c>
    </row>
    <row r="9" spans="1:10">
      <c r="A9" s="176">
        <v>2</v>
      </c>
      <c r="B9" s="178" t="s">
        <v>551</v>
      </c>
      <c r="C9" s="178" t="s">
        <v>110</v>
      </c>
      <c r="D9" s="178" t="s">
        <v>32</v>
      </c>
      <c r="E9" s="178" t="s">
        <v>111</v>
      </c>
      <c r="F9" s="178">
        <v>432</v>
      </c>
      <c r="G9" s="178">
        <v>350</v>
      </c>
      <c r="H9" s="178">
        <v>18</v>
      </c>
      <c r="I9" s="178">
        <v>1</v>
      </c>
      <c r="J9" s="215">
        <v>0.1512</v>
      </c>
    </row>
    <row r="10" spans="1:10">
      <c r="A10" s="176">
        <v>3</v>
      </c>
      <c r="B10" s="178" t="s">
        <v>551</v>
      </c>
      <c r="C10" s="178" t="s">
        <v>114</v>
      </c>
      <c r="D10" s="178" t="s">
        <v>32</v>
      </c>
      <c r="E10" s="178" t="s">
        <v>115</v>
      </c>
      <c r="F10" s="178">
        <v>160</v>
      </c>
      <c r="G10" s="178">
        <v>722</v>
      </c>
      <c r="H10" s="178">
        <v>18</v>
      </c>
      <c r="I10" s="178">
        <v>1</v>
      </c>
      <c r="J10" s="215">
        <v>0.1155</v>
      </c>
    </row>
    <row r="11" spans="1:10">
      <c r="A11" s="176">
        <v>4</v>
      </c>
      <c r="B11" s="178" t="s">
        <v>551</v>
      </c>
      <c r="C11" s="178" t="s">
        <v>117</v>
      </c>
      <c r="D11" s="178" t="s">
        <v>32</v>
      </c>
      <c r="E11" s="178" t="s">
        <v>115</v>
      </c>
      <c r="F11" s="178">
        <v>722</v>
      </c>
      <c r="G11" s="178">
        <v>330</v>
      </c>
      <c r="H11" s="178">
        <v>18</v>
      </c>
      <c r="I11" s="178">
        <v>1</v>
      </c>
      <c r="J11" s="215">
        <v>0.2383</v>
      </c>
    </row>
    <row r="12" spans="1:10">
      <c r="A12" s="176">
        <v>5</v>
      </c>
      <c r="B12" s="178" t="s">
        <v>551</v>
      </c>
      <c r="C12" s="178" t="s">
        <v>119</v>
      </c>
      <c r="D12" s="178" t="s">
        <v>32</v>
      </c>
      <c r="E12" s="178" t="s">
        <v>111</v>
      </c>
      <c r="F12" s="178">
        <v>737</v>
      </c>
      <c r="G12" s="178">
        <v>244</v>
      </c>
      <c r="H12" s="178">
        <v>18</v>
      </c>
      <c r="I12" s="178">
        <v>1</v>
      </c>
      <c r="J12" s="215">
        <v>0.1798</v>
      </c>
    </row>
    <row r="13" spans="1:10">
      <c r="A13" s="176">
        <v>6</v>
      </c>
      <c r="B13" s="178" t="s">
        <v>551</v>
      </c>
      <c r="C13" s="178" t="s">
        <v>121</v>
      </c>
      <c r="D13" s="178" t="s">
        <v>32</v>
      </c>
      <c r="E13" s="178" t="s">
        <v>115</v>
      </c>
      <c r="F13" s="178">
        <v>660</v>
      </c>
      <c r="G13" s="178">
        <v>150</v>
      </c>
      <c r="H13" s="178">
        <v>18</v>
      </c>
      <c r="I13" s="178">
        <v>1</v>
      </c>
      <c r="J13" s="215">
        <v>0.099</v>
      </c>
    </row>
    <row r="14" spans="1:10">
      <c r="A14" s="176">
        <v>7</v>
      </c>
      <c r="B14" s="178" t="s">
        <v>551</v>
      </c>
      <c r="C14" s="178" t="s">
        <v>123</v>
      </c>
      <c r="D14" s="178" t="s">
        <v>32</v>
      </c>
      <c r="E14" s="178" t="s">
        <v>115</v>
      </c>
      <c r="F14" s="178">
        <v>660</v>
      </c>
      <c r="G14" s="178">
        <v>150</v>
      </c>
      <c r="H14" s="178">
        <v>18</v>
      </c>
      <c r="I14" s="178">
        <v>1</v>
      </c>
      <c r="J14" s="215">
        <v>0.099</v>
      </c>
    </row>
    <row r="15" spans="1:10">
      <c r="A15" s="176">
        <v>8</v>
      </c>
      <c r="B15" s="178" t="s">
        <v>551</v>
      </c>
      <c r="C15" s="178" t="s">
        <v>124</v>
      </c>
      <c r="D15" s="178" t="s">
        <v>32</v>
      </c>
      <c r="E15" s="178" t="s">
        <v>115</v>
      </c>
      <c r="F15" s="178">
        <v>250</v>
      </c>
      <c r="G15" s="178">
        <v>150</v>
      </c>
      <c r="H15" s="178">
        <v>18</v>
      </c>
      <c r="I15" s="178">
        <v>1</v>
      </c>
      <c r="J15" s="215">
        <v>0.0375</v>
      </c>
    </row>
    <row r="16" spans="1:10">
      <c r="A16" s="176">
        <v>9</v>
      </c>
      <c r="B16" s="178" t="s">
        <v>551</v>
      </c>
      <c r="C16" s="178" t="s">
        <v>126</v>
      </c>
      <c r="D16" s="178" t="s">
        <v>32</v>
      </c>
      <c r="E16" s="178" t="s">
        <v>115</v>
      </c>
      <c r="F16" s="178">
        <v>250</v>
      </c>
      <c r="G16" s="178">
        <v>150</v>
      </c>
      <c r="H16" s="178">
        <v>18</v>
      </c>
      <c r="I16" s="178">
        <v>1</v>
      </c>
      <c r="J16" s="215">
        <v>0.0375</v>
      </c>
    </row>
    <row r="17" spans="1:10">
      <c r="A17" s="176">
        <v>10</v>
      </c>
      <c r="B17" s="178" t="s">
        <v>551</v>
      </c>
      <c r="C17" s="178" t="s">
        <v>127</v>
      </c>
      <c r="D17" s="178" t="s">
        <v>32</v>
      </c>
      <c r="E17" s="178" t="s">
        <v>115</v>
      </c>
      <c r="F17" s="178">
        <v>670</v>
      </c>
      <c r="G17" s="178">
        <v>224</v>
      </c>
      <c r="H17" s="178">
        <v>9</v>
      </c>
      <c r="I17" s="178">
        <v>1</v>
      </c>
      <c r="J17" s="215">
        <v>0.1501</v>
      </c>
    </row>
    <row r="18" spans="1:10">
      <c r="A18" s="176">
        <v>11</v>
      </c>
      <c r="B18" s="178" t="s">
        <v>551</v>
      </c>
      <c r="C18" s="178" t="s">
        <v>129</v>
      </c>
      <c r="D18" s="178" t="s">
        <v>32</v>
      </c>
      <c r="E18" s="178" t="s">
        <v>115</v>
      </c>
      <c r="F18" s="178">
        <v>740</v>
      </c>
      <c r="G18" s="178">
        <v>50</v>
      </c>
      <c r="H18" s="178">
        <v>18</v>
      </c>
      <c r="I18" s="178">
        <v>1</v>
      </c>
      <c r="J18" s="215">
        <v>0.037</v>
      </c>
    </row>
    <row r="19" spans="1:10">
      <c r="A19" s="176">
        <v>12</v>
      </c>
      <c r="B19" s="178" t="s">
        <v>551</v>
      </c>
      <c r="C19" s="178" t="s">
        <v>131</v>
      </c>
      <c r="D19" s="178" t="s">
        <v>32</v>
      </c>
      <c r="E19" s="178" t="s">
        <v>115</v>
      </c>
      <c r="F19" s="178">
        <v>50</v>
      </c>
      <c r="G19" s="178">
        <v>740</v>
      </c>
      <c r="H19" s="178">
        <v>18</v>
      </c>
      <c r="I19" s="178">
        <v>1</v>
      </c>
      <c r="J19" s="215">
        <v>0.037</v>
      </c>
    </row>
    <row r="20" spans="1:10">
      <c r="A20" s="176">
        <v>13</v>
      </c>
      <c r="B20" s="178" t="s">
        <v>551</v>
      </c>
      <c r="C20" s="178" t="s">
        <v>114</v>
      </c>
      <c r="D20" s="178" t="s">
        <v>32</v>
      </c>
      <c r="E20" s="178" t="s">
        <v>115</v>
      </c>
      <c r="F20" s="178">
        <v>264</v>
      </c>
      <c r="G20" s="178">
        <v>732</v>
      </c>
      <c r="H20" s="178">
        <v>9</v>
      </c>
      <c r="I20" s="178">
        <v>1</v>
      </c>
      <c r="J20" s="215">
        <v>0.1932</v>
      </c>
    </row>
    <row r="21" spans="1:10">
      <c r="A21" s="176">
        <v>14</v>
      </c>
      <c r="B21" s="178" t="s">
        <v>551</v>
      </c>
      <c r="C21" s="178" t="s">
        <v>134</v>
      </c>
      <c r="D21" s="178" t="s">
        <v>32</v>
      </c>
      <c r="E21" s="178" t="s">
        <v>115</v>
      </c>
      <c r="F21" s="178">
        <v>432</v>
      </c>
      <c r="G21" s="178">
        <v>330</v>
      </c>
      <c r="H21" s="178">
        <v>18</v>
      </c>
      <c r="I21" s="178">
        <v>1</v>
      </c>
      <c r="J21" s="215">
        <v>0.1426</v>
      </c>
    </row>
    <row r="22" spans="1:10">
      <c r="A22" s="176">
        <v>15</v>
      </c>
      <c r="B22" s="178" t="s">
        <v>551</v>
      </c>
      <c r="C22" s="178" t="s">
        <v>129</v>
      </c>
      <c r="D22" s="178" t="s">
        <v>32</v>
      </c>
      <c r="E22" s="178" t="s">
        <v>115</v>
      </c>
      <c r="F22" s="178">
        <v>758</v>
      </c>
      <c r="G22" s="178">
        <v>350</v>
      </c>
      <c r="H22" s="178">
        <v>18</v>
      </c>
      <c r="I22" s="178">
        <v>1</v>
      </c>
      <c r="J22" s="215">
        <v>0.2653</v>
      </c>
    </row>
    <row r="23" spans="1:10">
      <c r="A23" s="176">
        <v>16</v>
      </c>
      <c r="B23" s="178" t="s">
        <v>551</v>
      </c>
      <c r="C23" s="178" t="s">
        <v>137</v>
      </c>
      <c r="D23" s="178" t="s">
        <v>32</v>
      </c>
      <c r="E23" s="178" t="s">
        <v>115</v>
      </c>
      <c r="F23" s="178">
        <v>1670</v>
      </c>
      <c r="G23" s="178">
        <v>758</v>
      </c>
      <c r="H23" s="178">
        <v>18</v>
      </c>
      <c r="I23" s="178">
        <v>1</v>
      </c>
      <c r="J23" s="215">
        <v>1.2659</v>
      </c>
    </row>
    <row r="24" spans="1:10">
      <c r="A24" s="176">
        <v>17</v>
      </c>
      <c r="B24" s="178" t="s">
        <v>551</v>
      </c>
      <c r="C24" s="178" t="s">
        <v>139</v>
      </c>
      <c r="D24" s="178" t="s">
        <v>32</v>
      </c>
      <c r="E24" s="178" t="s">
        <v>111</v>
      </c>
      <c r="F24" s="178">
        <v>310</v>
      </c>
      <c r="G24" s="178">
        <v>350</v>
      </c>
      <c r="H24" s="178">
        <v>18</v>
      </c>
      <c r="I24" s="178">
        <v>1</v>
      </c>
      <c r="J24" s="215">
        <v>0.1085</v>
      </c>
    </row>
    <row r="25" spans="1:10">
      <c r="A25" s="176">
        <v>18</v>
      </c>
      <c r="B25" s="178" t="s">
        <v>551</v>
      </c>
      <c r="C25" s="178" t="s">
        <v>117</v>
      </c>
      <c r="D25" s="178" t="s">
        <v>32</v>
      </c>
      <c r="E25" s="178" t="s">
        <v>115</v>
      </c>
      <c r="F25" s="178">
        <v>722</v>
      </c>
      <c r="G25" s="178">
        <v>330</v>
      </c>
      <c r="H25" s="178">
        <v>18</v>
      </c>
      <c r="I25" s="178">
        <v>1</v>
      </c>
      <c r="J25" s="215">
        <v>0.2383</v>
      </c>
    </row>
    <row r="26" spans="1:10">
      <c r="A26" s="176">
        <v>19</v>
      </c>
      <c r="B26" s="178" t="s">
        <v>551</v>
      </c>
      <c r="C26" s="178" t="s">
        <v>114</v>
      </c>
      <c r="D26" s="178" t="s">
        <v>32</v>
      </c>
      <c r="E26" s="178" t="s">
        <v>115</v>
      </c>
      <c r="F26" s="178">
        <v>54</v>
      </c>
      <c r="G26" s="178">
        <v>722</v>
      </c>
      <c r="H26" s="178">
        <v>18</v>
      </c>
      <c r="I26" s="178">
        <v>1</v>
      </c>
      <c r="J26" s="215">
        <v>0.039</v>
      </c>
    </row>
    <row r="27" spans="1:10">
      <c r="A27" s="176">
        <v>20</v>
      </c>
      <c r="B27" s="178" t="s">
        <v>551</v>
      </c>
      <c r="C27" s="178" t="s">
        <v>142</v>
      </c>
      <c r="D27" s="178" t="s">
        <v>32</v>
      </c>
      <c r="E27" s="178" t="s">
        <v>115</v>
      </c>
      <c r="F27" s="178">
        <v>722</v>
      </c>
      <c r="G27" s="178">
        <v>192</v>
      </c>
      <c r="H27" s="178">
        <v>18</v>
      </c>
      <c r="I27" s="178">
        <v>1</v>
      </c>
      <c r="J27" s="215">
        <v>0.1386</v>
      </c>
    </row>
    <row r="28" spans="1:10">
      <c r="A28" s="176">
        <v>21</v>
      </c>
      <c r="B28" s="178" t="s">
        <v>551</v>
      </c>
      <c r="C28" s="178" t="s">
        <v>134</v>
      </c>
      <c r="D28" s="178" t="s">
        <v>32</v>
      </c>
      <c r="E28" s="178" t="s">
        <v>115</v>
      </c>
      <c r="F28" s="178">
        <v>250</v>
      </c>
      <c r="G28" s="178">
        <v>330</v>
      </c>
      <c r="H28" s="178">
        <v>18</v>
      </c>
      <c r="I28" s="178">
        <v>1</v>
      </c>
      <c r="J28" s="215">
        <v>0.0825</v>
      </c>
    </row>
    <row r="29" spans="1:10">
      <c r="A29" s="176">
        <v>22</v>
      </c>
      <c r="B29" s="178" t="s">
        <v>551</v>
      </c>
      <c r="C29" s="178" t="s">
        <v>145</v>
      </c>
      <c r="D29" s="178" t="s">
        <v>32</v>
      </c>
      <c r="E29" s="178" t="s">
        <v>115</v>
      </c>
      <c r="F29" s="178">
        <v>740</v>
      </c>
      <c r="G29" s="178">
        <v>50</v>
      </c>
      <c r="H29" s="178">
        <v>18</v>
      </c>
      <c r="I29" s="178">
        <v>1</v>
      </c>
      <c r="J29" s="215">
        <v>0.037</v>
      </c>
    </row>
    <row r="30" spans="1:10">
      <c r="A30" s="176">
        <v>23</v>
      </c>
      <c r="B30" s="178" t="s">
        <v>551</v>
      </c>
      <c r="C30" s="178" t="s">
        <v>146</v>
      </c>
      <c r="D30" s="178" t="s">
        <v>32</v>
      </c>
      <c r="E30" s="178" t="s">
        <v>115</v>
      </c>
      <c r="F30" s="178">
        <v>740</v>
      </c>
      <c r="G30" s="178">
        <v>80</v>
      </c>
      <c r="H30" s="178">
        <v>18</v>
      </c>
      <c r="I30" s="178">
        <v>1</v>
      </c>
      <c r="J30" s="215">
        <v>0.0592</v>
      </c>
    </row>
    <row r="31" spans="1:10">
      <c r="A31" s="176">
        <v>24</v>
      </c>
      <c r="B31" s="178" t="s">
        <v>551</v>
      </c>
      <c r="C31" s="178" t="s">
        <v>31</v>
      </c>
      <c r="D31" s="178" t="s">
        <v>32</v>
      </c>
      <c r="E31" s="178" t="s">
        <v>111</v>
      </c>
      <c r="F31" s="178">
        <v>297</v>
      </c>
      <c r="G31" s="178">
        <v>367</v>
      </c>
      <c r="H31" s="178">
        <v>18</v>
      </c>
      <c r="I31" s="178">
        <v>1</v>
      </c>
      <c r="J31" s="215">
        <v>0.109</v>
      </c>
    </row>
    <row r="32" spans="1:10">
      <c r="A32" s="176">
        <v>25</v>
      </c>
      <c r="B32" s="178" t="s">
        <v>551</v>
      </c>
      <c r="C32" s="178" t="s">
        <v>35</v>
      </c>
      <c r="D32" s="178" t="s">
        <v>32</v>
      </c>
      <c r="E32" s="178" t="s">
        <v>111</v>
      </c>
      <c r="F32" s="178">
        <v>297</v>
      </c>
      <c r="G32" s="178">
        <v>367</v>
      </c>
      <c r="H32" s="178">
        <v>18</v>
      </c>
      <c r="I32" s="178">
        <v>1</v>
      </c>
      <c r="J32" s="215">
        <v>0.109</v>
      </c>
    </row>
    <row r="33" spans="1:10">
      <c r="A33" s="176">
        <v>26</v>
      </c>
      <c r="B33" s="178" t="s">
        <v>551</v>
      </c>
      <c r="C33" s="178" t="s">
        <v>114</v>
      </c>
      <c r="D33" s="178" t="s">
        <v>32</v>
      </c>
      <c r="E33" s="178" t="s">
        <v>115</v>
      </c>
      <c r="F33" s="178">
        <v>178</v>
      </c>
      <c r="G33" s="178">
        <v>740</v>
      </c>
      <c r="H33" s="178">
        <v>18</v>
      </c>
      <c r="I33" s="178">
        <v>1</v>
      </c>
      <c r="J33" s="215">
        <v>0.1317</v>
      </c>
    </row>
    <row r="34" spans="1:10">
      <c r="A34" s="176">
        <v>27</v>
      </c>
      <c r="B34" s="178" t="s">
        <v>551</v>
      </c>
      <c r="C34" s="178" t="s">
        <v>142</v>
      </c>
      <c r="D34" s="178" t="s">
        <v>32</v>
      </c>
      <c r="E34" s="178" t="s">
        <v>115</v>
      </c>
      <c r="F34" s="178">
        <v>740</v>
      </c>
      <c r="G34" s="178">
        <v>120</v>
      </c>
      <c r="H34" s="178">
        <v>18</v>
      </c>
      <c r="I34" s="178">
        <v>1</v>
      </c>
      <c r="J34" s="215">
        <v>0.0888</v>
      </c>
    </row>
    <row r="35" spans="1:10">
      <c r="A35" s="176">
        <v>28</v>
      </c>
      <c r="B35" s="178" t="s">
        <v>30</v>
      </c>
      <c r="C35" s="178" t="s">
        <v>110</v>
      </c>
      <c r="D35" s="178" t="s">
        <v>32</v>
      </c>
      <c r="E35" s="178" t="s">
        <v>115</v>
      </c>
      <c r="F35" s="178">
        <v>1032</v>
      </c>
      <c r="G35" s="178">
        <v>330</v>
      </c>
      <c r="H35" s="178">
        <v>18</v>
      </c>
      <c r="I35" s="178">
        <v>1</v>
      </c>
      <c r="J35" s="215">
        <v>0.3406</v>
      </c>
    </row>
    <row r="36" spans="1:10">
      <c r="A36" s="176">
        <v>29</v>
      </c>
      <c r="B36" s="178" t="s">
        <v>30</v>
      </c>
      <c r="C36" s="178" t="s">
        <v>114</v>
      </c>
      <c r="D36" s="178" t="s">
        <v>32</v>
      </c>
      <c r="E36" s="178" t="s">
        <v>115</v>
      </c>
      <c r="F36" s="178">
        <v>160</v>
      </c>
      <c r="G36" s="178">
        <v>1964</v>
      </c>
      <c r="H36" s="178">
        <v>18</v>
      </c>
      <c r="I36" s="178">
        <v>1</v>
      </c>
      <c r="J36" s="215">
        <v>0.3142</v>
      </c>
    </row>
    <row r="37" spans="1:10">
      <c r="A37" s="176">
        <v>30</v>
      </c>
      <c r="B37" s="178" t="s">
        <v>30</v>
      </c>
      <c r="C37" s="178" t="s">
        <v>117</v>
      </c>
      <c r="D37" s="178" t="s">
        <v>32</v>
      </c>
      <c r="E37" s="178" t="s">
        <v>115</v>
      </c>
      <c r="F37" s="178">
        <v>1964</v>
      </c>
      <c r="G37" s="178">
        <v>330</v>
      </c>
      <c r="H37" s="178">
        <v>18</v>
      </c>
      <c r="I37" s="178">
        <v>1</v>
      </c>
      <c r="J37" s="215">
        <v>0.6481</v>
      </c>
    </row>
    <row r="38" spans="1:10">
      <c r="A38" s="176">
        <v>31</v>
      </c>
      <c r="B38" s="178" t="s">
        <v>30</v>
      </c>
      <c r="C38" s="178" t="s">
        <v>114</v>
      </c>
      <c r="D38" s="178" t="s">
        <v>32</v>
      </c>
      <c r="E38" s="178" t="s">
        <v>115</v>
      </c>
      <c r="F38" s="178">
        <v>237</v>
      </c>
      <c r="G38" s="178">
        <v>783</v>
      </c>
      <c r="H38" s="178">
        <v>9</v>
      </c>
      <c r="I38" s="178">
        <v>1</v>
      </c>
      <c r="J38" s="215">
        <v>0.1856</v>
      </c>
    </row>
    <row r="39" spans="1:10">
      <c r="A39" s="176">
        <v>32</v>
      </c>
      <c r="B39" s="178" t="s">
        <v>30</v>
      </c>
      <c r="C39" s="178" t="s">
        <v>129</v>
      </c>
      <c r="D39" s="178" t="s">
        <v>32</v>
      </c>
      <c r="E39" s="178" t="s">
        <v>115</v>
      </c>
      <c r="F39" s="178">
        <v>773</v>
      </c>
      <c r="G39" s="178">
        <v>325</v>
      </c>
      <c r="H39" s="178">
        <v>18</v>
      </c>
      <c r="I39" s="178">
        <v>1</v>
      </c>
      <c r="J39" s="215">
        <v>0.2512</v>
      </c>
    </row>
    <row r="40" spans="1:10">
      <c r="A40" s="176">
        <v>33</v>
      </c>
      <c r="B40" s="178" t="s">
        <v>30</v>
      </c>
      <c r="C40" s="178" t="s">
        <v>114</v>
      </c>
      <c r="D40" s="178" t="s">
        <v>32</v>
      </c>
      <c r="E40" s="178" t="s">
        <v>115</v>
      </c>
      <c r="F40" s="178">
        <v>178</v>
      </c>
      <c r="G40" s="178">
        <v>783</v>
      </c>
      <c r="H40" s="178">
        <v>9</v>
      </c>
      <c r="I40" s="178">
        <v>1</v>
      </c>
      <c r="J40" s="215">
        <v>0.1394</v>
      </c>
    </row>
    <row r="41" spans="1:10">
      <c r="A41" s="176">
        <v>34</v>
      </c>
      <c r="B41" s="178" t="s">
        <v>30</v>
      </c>
      <c r="C41" s="178" t="s">
        <v>129</v>
      </c>
      <c r="D41" s="178" t="s">
        <v>32</v>
      </c>
      <c r="E41" s="178" t="s">
        <v>115</v>
      </c>
      <c r="F41" s="178">
        <v>773</v>
      </c>
      <c r="G41" s="178">
        <v>325</v>
      </c>
      <c r="H41" s="178">
        <v>18</v>
      </c>
      <c r="I41" s="178">
        <v>1</v>
      </c>
      <c r="J41" s="215">
        <v>0.2512</v>
      </c>
    </row>
    <row r="42" spans="1:10">
      <c r="A42" s="176">
        <v>35</v>
      </c>
      <c r="B42" s="178" t="s">
        <v>30</v>
      </c>
      <c r="C42" s="178" t="s">
        <v>114</v>
      </c>
      <c r="D42" s="178" t="s">
        <v>32</v>
      </c>
      <c r="E42" s="178" t="s">
        <v>115</v>
      </c>
      <c r="F42" s="178">
        <v>178</v>
      </c>
      <c r="G42" s="178">
        <v>783</v>
      </c>
      <c r="H42" s="178">
        <v>9</v>
      </c>
      <c r="I42" s="178">
        <v>1</v>
      </c>
      <c r="J42" s="215">
        <v>0.1394</v>
      </c>
    </row>
    <row r="43" spans="1:10">
      <c r="A43" s="176">
        <v>36</v>
      </c>
      <c r="B43" s="178" t="s">
        <v>30</v>
      </c>
      <c r="C43" s="178" t="s">
        <v>129</v>
      </c>
      <c r="D43" s="178" t="s">
        <v>32</v>
      </c>
      <c r="E43" s="178" t="s">
        <v>115</v>
      </c>
      <c r="F43" s="178">
        <v>773</v>
      </c>
      <c r="G43" s="178">
        <v>325</v>
      </c>
      <c r="H43" s="178">
        <v>18</v>
      </c>
      <c r="I43" s="178">
        <v>1</v>
      </c>
      <c r="J43" s="215">
        <v>0.2512</v>
      </c>
    </row>
    <row r="44" spans="1:10">
      <c r="A44" s="176">
        <v>37</v>
      </c>
      <c r="B44" s="178" t="s">
        <v>30</v>
      </c>
      <c r="C44" s="178" t="s">
        <v>129</v>
      </c>
      <c r="D44" s="178" t="s">
        <v>32</v>
      </c>
      <c r="E44" s="178" t="s">
        <v>115</v>
      </c>
      <c r="F44" s="178">
        <v>1982</v>
      </c>
      <c r="G44" s="178">
        <v>50</v>
      </c>
      <c r="H44" s="178">
        <v>18</v>
      </c>
      <c r="I44" s="178">
        <v>1</v>
      </c>
      <c r="J44" s="215">
        <v>0.0991</v>
      </c>
    </row>
    <row r="45" spans="1:10">
      <c r="A45" s="176">
        <v>38</v>
      </c>
      <c r="B45" s="178" t="s">
        <v>30</v>
      </c>
      <c r="C45" s="178" t="s">
        <v>131</v>
      </c>
      <c r="D45" s="178" t="s">
        <v>32</v>
      </c>
      <c r="E45" s="178" t="s">
        <v>115</v>
      </c>
      <c r="F45" s="178">
        <v>50</v>
      </c>
      <c r="G45" s="178">
        <v>1982</v>
      </c>
      <c r="H45" s="178">
        <v>18</v>
      </c>
      <c r="I45" s="178">
        <v>1</v>
      </c>
      <c r="J45" s="215">
        <v>0.0991</v>
      </c>
    </row>
    <row r="46" spans="1:10">
      <c r="A46" s="176">
        <v>39</v>
      </c>
      <c r="B46" s="178" t="s">
        <v>30</v>
      </c>
      <c r="C46" s="178" t="s">
        <v>114</v>
      </c>
      <c r="D46" s="178" t="s">
        <v>32</v>
      </c>
      <c r="E46" s="178" t="s">
        <v>115</v>
      </c>
      <c r="F46" s="178">
        <v>247</v>
      </c>
      <c r="G46" s="178">
        <v>783</v>
      </c>
      <c r="H46" s="178">
        <v>9</v>
      </c>
      <c r="I46" s="178">
        <v>1</v>
      </c>
      <c r="J46" s="215">
        <v>0.1934</v>
      </c>
    </row>
    <row r="47" spans="1:10">
      <c r="A47" s="176">
        <v>40</v>
      </c>
      <c r="B47" s="178" t="s">
        <v>30</v>
      </c>
      <c r="C47" s="178" t="s">
        <v>165</v>
      </c>
      <c r="D47" s="178" t="s">
        <v>32</v>
      </c>
      <c r="E47" s="178" t="s">
        <v>115</v>
      </c>
      <c r="F47" s="178">
        <v>854</v>
      </c>
      <c r="G47" s="178">
        <v>330</v>
      </c>
      <c r="H47" s="178">
        <v>18</v>
      </c>
      <c r="I47" s="178">
        <v>1</v>
      </c>
      <c r="J47" s="215">
        <v>0.2818</v>
      </c>
    </row>
    <row r="48" spans="1:10">
      <c r="A48" s="176">
        <v>41</v>
      </c>
      <c r="B48" s="178" t="s">
        <v>30</v>
      </c>
      <c r="C48" s="178" t="s">
        <v>129</v>
      </c>
      <c r="D48" s="178" t="s">
        <v>32</v>
      </c>
      <c r="E48" s="178" t="s">
        <v>115</v>
      </c>
      <c r="F48" s="178">
        <v>782</v>
      </c>
      <c r="G48" s="178">
        <v>276</v>
      </c>
      <c r="H48" s="178">
        <v>18</v>
      </c>
      <c r="I48" s="178">
        <v>1</v>
      </c>
      <c r="J48" s="215">
        <v>0.2158</v>
      </c>
    </row>
    <row r="49" spans="1:10">
      <c r="A49" s="176">
        <v>42</v>
      </c>
      <c r="B49" s="178" t="s">
        <v>30</v>
      </c>
      <c r="C49" s="178" t="s">
        <v>114</v>
      </c>
      <c r="D49" s="178" t="s">
        <v>32</v>
      </c>
      <c r="E49" s="178" t="s">
        <v>115</v>
      </c>
      <c r="F49" s="178">
        <v>609</v>
      </c>
      <c r="G49" s="178">
        <v>792</v>
      </c>
      <c r="H49" s="178">
        <v>9</v>
      </c>
      <c r="I49" s="178">
        <v>1</v>
      </c>
      <c r="J49" s="215">
        <v>0.4823</v>
      </c>
    </row>
    <row r="50" spans="1:10">
      <c r="A50" s="176">
        <v>43</v>
      </c>
      <c r="B50" s="178" t="s">
        <v>30</v>
      </c>
      <c r="C50" s="178" t="s">
        <v>129</v>
      </c>
      <c r="D50" s="178" t="s">
        <v>32</v>
      </c>
      <c r="E50" s="178" t="s">
        <v>115</v>
      </c>
      <c r="F50" s="178">
        <v>782</v>
      </c>
      <c r="G50" s="178">
        <v>325</v>
      </c>
      <c r="H50" s="178">
        <v>18</v>
      </c>
      <c r="I50" s="178">
        <v>1</v>
      </c>
      <c r="J50" s="215">
        <v>0.2542</v>
      </c>
    </row>
    <row r="51" spans="1:10">
      <c r="A51" s="176">
        <v>44</v>
      </c>
      <c r="B51" s="178" t="s">
        <v>30</v>
      </c>
      <c r="C51" s="178" t="s">
        <v>114</v>
      </c>
      <c r="D51" s="178" t="s">
        <v>32</v>
      </c>
      <c r="E51" s="178" t="s">
        <v>115</v>
      </c>
      <c r="F51" s="178">
        <v>247</v>
      </c>
      <c r="G51" s="178">
        <v>792</v>
      </c>
      <c r="H51" s="178">
        <v>9</v>
      </c>
      <c r="I51" s="178">
        <v>1</v>
      </c>
      <c r="J51" s="215">
        <v>0.1956</v>
      </c>
    </row>
    <row r="52" spans="1:10">
      <c r="A52" s="176">
        <v>45</v>
      </c>
      <c r="B52" s="178" t="s">
        <v>30</v>
      </c>
      <c r="C52" s="178" t="s">
        <v>165</v>
      </c>
      <c r="D52" s="178" t="s">
        <v>32</v>
      </c>
      <c r="E52" s="178" t="s">
        <v>115</v>
      </c>
      <c r="F52" s="178">
        <v>854</v>
      </c>
      <c r="G52" s="178">
        <v>330</v>
      </c>
      <c r="H52" s="178">
        <v>18</v>
      </c>
      <c r="I52" s="178">
        <v>1</v>
      </c>
      <c r="J52" s="215">
        <v>0.2818</v>
      </c>
    </row>
    <row r="53" spans="1:10">
      <c r="A53" s="176">
        <v>46</v>
      </c>
      <c r="B53" s="178" t="s">
        <v>30</v>
      </c>
      <c r="C53" s="178" t="s">
        <v>114</v>
      </c>
      <c r="D53" s="178" t="s">
        <v>32</v>
      </c>
      <c r="E53" s="178" t="s">
        <v>115</v>
      </c>
      <c r="F53" s="178">
        <v>237</v>
      </c>
      <c r="G53" s="178">
        <v>383</v>
      </c>
      <c r="H53" s="178">
        <v>9</v>
      </c>
      <c r="I53" s="178">
        <v>1</v>
      </c>
      <c r="J53" s="215">
        <v>0.0908</v>
      </c>
    </row>
    <row r="54" spans="1:10">
      <c r="A54" s="176">
        <v>47</v>
      </c>
      <c r="B54" s="178" t="s">
        <v>30</v>
      </c>
      <c r="C54" s="178" t="s">
        <v>129</v>
      </c>
      <c r="D54" s="178" t="s">
        <v>32</v>
      </c>
      <c r="E54" s="178" t="s">
        <v>115</v>
      </c>
      <c r="F54" s="178">
        <v>373</v>
      </c>
      <c r="G54" s="178">
        <v>325</v>
      </c>
      <c r="H54" s="178">
        <v>18</v>
      </c>
      <c r="I54" s="178">
        <v>1</v>
      </c>
      <c r="J54" s="215">
        <v>0.1212</v>
      </c>
    </row>
    <row r="55" spans="1:10">
      <c r="A55" s="176">
        <v>48</v>
      </c>
      <c r="B55" s="178" t="s">
        <v>30</v>
      </c>
      <c r="C55" s="178" t="s">
        <v>114</v>
      </c>
      <c r="D55" s="178" t="s">
        <v>32</v>
      </c>
      <c r="E55" s="178" t="s">
        <v>115</v>
      </c>
      <c r="F55" s="178">
        <v>178</v>
      </c>
      <c r="G55" s="178">
        <v>383</v>
      </c>
      <c r="H55" s="178">
        <v>9</v>
      </c>
      <c r="I55" s="178">
        <v>1</v>
      </c>
      <c r="J55" s="215">
        <v>0.0682</v>
      </c>
    </row>
    <row r="56" spans="1:10">
      <c r="A56" s="176">
        <v>49</v>
      </c>
      <c r="B56" s="178" t="s">
        <v>30</v>
      </c>
      <c r="C56" s="178" t="s">
        <v>129</v>
      </c>
      <c r="D56" s="178" t="s">
        <v>32</v>
      </c>
      <c r="E56" s="178" t="s">
        <v>115</v>
      </c>
      <c r="F56" s="178">
        <v>373</v>
      </c>
      <c r="G56" s="178">
        <v>325</v>
      </c>
      <c r="H56" s="178">
        <v>18</v>
      </c>
      <c r="I56" s="178">
        <v>1</v>
      </c>
      <c r="J56" s="215">
        <v>0.1212</v>
      </c>
    </row>
    <row r="57" spans="1:10">
      <c r="A57" s="176">
        <v>50</v>
      </c>
      <c r="B57" s="178" t="s">
        <v>30</v>
      </c>
      <c r="C57" s="178" t="s">
        <v>114</v>
      </c>
      <c r="D57" s="178" t="s">
        <v>32</v>
      </c>
      <c r="E57" s="178" t="s">
        <v>115</v>
      </c>
      <c r="F57" s="178">
        <v>178</v>
      </c>
      <c r="G57" s="178">
        <v>383</v>
      </c>
      <c r="H57" s="178">
        <v>9</v>
      </c>
      <c r="I57" s="178">
        <v>1</v>
      </c>
      <c r="J57" s="215">
        <v>0.0682</v>
      </c>
    </row>
    <row r="58" spans="1:10">
      <c r="A58" s="176">
        <v>51</v>
      </c>
      <c r="B58" s="178" t="s">
        <v>30</v>
      </c>
      <c r="C58" s="178" t="s">
        <v>129</v>
      </c>
      <c r="D58" s="178" t="s">
        <v>32</v>
      </c>
      <c r="E58" s="178" t="s">
        <v>115</v>
      </c>
      <c r="F58" s="178">
        <v>373</v>
      </c>
      <c r="G58" s="178">
        <v>325</v>
      </c>
      <c r="H58" s="178">
        <v>18</v>
      </c>
      <c r="I58" s="178">
        <v>1</v>
      </c>
      <c r="J58" s="215">
        <v>0.1212</v>
      </c>
    </row>
    <row r="59" spans="1:10">
      <c r="A59" s="176">
        <v>52</v>
      </c>
      <c r="B59" s="178" t="s">
        <v>30</v>
      </c>
      <c r="C59" s="178" t="s">
        <v>114</v>
      </c>
      <c r="D59" s="178" t="s">
        <v>32</v>
      </c>
      <c r="E59" s="178" t="s">
        <v>115</v>
      </c>
      <c r="F59" s="178">
        <v>247</v>
      </c>
      <c r="G59" s="178">
        <v>383</v>
      </c>
      <c r="H59" s="178">
        <v>9</v>
      </c>
      <c r="I59" s="178">
        <v>1</v>
      </c>
      <c r="J59" s="215">
        <v>0.0946</v>
      </c>
    </row>
    <row r="60" spans="1:10">
      <c r="A60" s="176">
        <v>53</v>
      </c>
      <c r="B60" s="178" t="s">
        <v>30</v>
      </c>
      <c r="C60" s="178" t="s">
        <v>134</v>
      </c>
      <c r="D60" s="178" t="s">
        <v>32</v>
      </c>
      <c r="E60" s="178" t="s">
        <v>115</v>
      </c>
      <c r="F60" s="178">
        <v>1032</v>
      </c>
      <c r="G60" s="178">
        <v>330</v>
      </c>
      <c r="H60" s="178">
        <v>18</v>
      </c>
      <c r="I60" s="178">
        <v>1</v>
      </c>
      <c r="J60" s="215">
        <v>0.3406</v>
      </c>
    </row>
    <row r="61" spans="1:10">
      <c r="A61" s="176">
        <v>54</v>
      </c>
      <c r="B61" s="178" t="s">
        <v>30</v>
      </c>
      <c r="C61" s="178" t="s">
        <v>129</v>
      </c>
      <c r="D61" s="178" t="s">
        <v>32</v>
      </c>
      <c r="E61" s="178" t="s">
        <v>115</v>
      </c>
      <c r="F61" s="178">
        <v>2000</v>
      </c>
      <c r="G61" s="178">
        <v>350</v>
      </c>
      <c r="H61" s="178">
        <v>18</v>
      </c>
      <c r="I61" s="178">
        <v>1</v>
      </c>
      <c r="J61" s="215">
        <v>0.7</v>
      </c>
    </row>
    <row r="62" spans="1:10">
      <c r="A62" s="176">
        <v>55</v>
      </c>
      <c r="B62" s="178" t="s">
        <v>30</v>
      </c>
      <c r="C62" s="178" t="s">
        <v>114</v>
      </c>
      <c r="D62" s="178" t="s">
        <v>32</v>
      </c>
      <c r="E62" s="178" t="s">
        <v>115</v>
      </c>
      <c r="F62" s="178">
        <v>510</v>
      </c>
      <c r="G62" s="178">
        <v>2000</v>
      </c>
      <c r="H62" s="178">
        <v>18</v>
      </c>
      <c r="I62" s="178">
        <v>1</v>
      </c>
      <c r="J62" s="215">
        <v>1.02</v>
      </c>
    </row>
    <row r="63" spans="1:10">
      <c r="A63" s="176">
        <v>56</v>
      </c>
      <c r="B63" s="178" t="s">
        <v>30</v>
      </c>
      <c r="C63" s="178" t="s">
        <v>139</v>
      </c>
      <c r="D63" s="178" t="s">
        <v>32</v>
      </c>
      <c r="E63" s="178" t="s">
        <v>115</v>
      </c>
      <c r="F63" s="178">
        <v>810</v>
      </c>
      <c r="G63" s="178">
        <v>330</v>
      </c>
      <c r="H63" s="178">
        <v>18</v>
      </c>
      <c r="I63" s="178">
        <v>1</v>
      </c>
      <c r="J63" s="215">
        <v>0.2673</v>
      </c>
    </row>
    <row r="64" spans="1:10">
      <c r="A64" s="176">
        <v>57</v>
      </c>
      <c r="B64" s="178" t="s">
        <v>30</v>
      </c>
      <c r="C64" s="178" t="s">
        <v>117</v>
      </c>
      <c r="D64" s="178" t="s">
        <v>32</v>
      </c>
      <c r="E64" s="178" t="s">
        <v>115</v>
      </c>
      <c r="F64" s="178">
        <v>1964</v>
      </c>
      <c r="G64" s="178">
        <v>330</v>
      </c>
      <c r="H64" s="178">
        <v>18</v>
      </c>
      <c r="I64" s="178">
        <v>1</v>
      </c>
      <c r="J64" s="215">
        <v>0.6481</v>
      </c>
    </row>
    <row r="65" spans="1:10">
      <c r="A65" s="176">
        <v>58</v>
      </c>
      <c r="B65" s="178" t="s">
        <v>30</v>
      </c>
      <c r="C65" s="178" t="s">
        <v>129</v>
      </c>
      <c r="D65" s="178" t="s">
        <v>32</v>
      </c>
      <c r="E65" s="178" t="s">
        <v>115</v>
      </c>
      <c r="F65" s="178">
        <v>773</v>
      </c>
      <c r="G65" s="178">
        <v>296</v>
      </c>
      <c r="H65" s="178">
        <v>18</v>
      </c>
      <c r="I65" s="178">
        <v>1</v>
      </c>
      <c r="J65" s="215">
        <v>0.2288</v>
      </c>
    </row>
    <row r="66" spans="1:10">
      <c r="A66" s="176">
        <v>59</v>
      </c>
      <c r="B66" s="178" t="s">
        <v>30</v>
      </c>
      <c r="C66" s="178" t="s">
        <v>114</v>
      </c>
      <c r="D66" s="178" t="s">
        <v>32</v>
      </c>
      <c r="E66" s="178" t="s">
        <v>115</v>
      </c>
      <c r="F66" s="178">
        <v>624</v>
      </c>
      <c r="G66" s="178">
        <v>783</v>
      </c>
      <c r="H66" s="178">
        <v>9</v>
      </c>
      <c r="I66" s="178">
        <v>1</v>
      </c>
      <c r="J66" s="215">
        <v>0.4886</v>
      </c>
    </row>
    <row r="67" spans="1:10">
      <c r="A67" s="176">
        <v>60</v>
      </c>
      <c r="B67" s="178" t="s">
        <v>30</v>
      </c>
      <c r="C67" s="178" t="s">
        <v>180</v>
      </c>
      <c r="D67" s="178" t="s">
        <v>32</v>
      </c>
      <c r="E67" s="178" t="s">
        <v>115</v>
      </c>
      <c r="F67" s="178">
        <v>773</v>
      </c>
      <c r="G67" s="178">
        <v>80</v>
      </c>
      <c r="H67" s="178">
        <v>18</v>
      </c>
      <c r="I67" s="178">
        <v>1</v>
      </c>
      <c r="J67" s="215">
        <v>0.0618</v>
      </c>
    </row>
    <row r="68" spans="1:10">
      <c r="A68" s="176">
        <v>61</v>
      </c>
      <c r="B68" s="178" t="s">
        <v>30</v>
      </c>
      <c r="C68" s="178" t="s">
        <v>180</v>
      </c>
      <c r="D68" s="178" t="s">
        <v>32</v>
      </c>
      <c r="E68" s="178" t="s">
        <v>115</v>
      </c>
      <c r="F68" s="178">
        <v>773</v>
      </c>
      <c r="G68" s="178">
        <v>80</v>
      </c>
      <c r="H68" s="178">
        <v>18</v>
      </c>
      <c r="I68" s="178">
        <v>1</v>
      </c>
      <c r="J68" s="215">
        <v>0.0618</v>
      </c>
    </row>
    <row r="69" spans="1:10">
      <c r="A69" s="176">
        <v>62</v>
      </c>
      <c r="B69" s="178" t="s">
        <v>30</v>
      </c>
      <c r="C69" s="178" t="s">
        <v>165</v>
      </c>
      <c r="D69" s="178" t="s">
        <v>32</v>
      </c>
      <c r="E69" s="178" t="s">
        <v>115</v>
      </c>
      <c r="F69" s="178">
        <v>774</v>
      </c>
      <c r="G69" s="178">
        <v>330</v>
      </c>
      <c r="H69" s="178">
        <v>18</v>
      </c>
      <c r="I69" s="178">
        <v>1</v>
      </c>
      <c r="J69" s="215">
        <v>0.2554</v>
      </c>
    </row>
    <row r="70" spans="1:10">
      <c r="A70" s="176">
        <v>63</v>
      </c>
      <c r="B70" s="178" t="s">
        <v>30</v>
      </c>
      <c r="C70" s="178" t="s">
        <v>129</v>
      </c>
      <c r="D70" s="178" t="s">
        <v>32</v>
      </c>
      <c r="E70" s="178" t="s">
        <v>115</v>
      </c>
      <c r="F70" s="178">
        <v>782</v>
      </c>
      <c r="G70" s="178">
        <v>276</v>
      </c>
      <c r="H70" s="178">
        <v>18</v>
      </c>
      <c r="I70" s="178">
        <v>1</v>
      </c>
      <c r="J70" s="215">
        <v>0.2158</v>
      </c>
    </row>
    <row r="71" spans="1:10">
      <c r="A71" s="176">
        <v>64</v>
      </c>
      <c r="B71" s="178" t="s">
        <v>30</v>
      </c>
      <c r="C71" s="178" t="s">
        <v>114</v>
      </c>
      <c r="D71" s="178" t="s">
        <v>32</v>
      </c>
      <c r="E71" s="178" t="s">
        <v>115</v>
      </c>
      <c r="F71" s="178">
        <v>624</v>
      </c>
      <c r="G71" s="178">
        <v>792</v>
      </c>
      <c r="H71" s="178">
        <v>9</v>
      </c>
      <c r="I71" s="178">
        <v>1</v>
      </c>
      <c r="J71" s="215">
        <v>0.4942</v>
      </c>
    </row>
    <row r="72" spans="1:10">
      <c r="A72" s="176">
        <v>65</v>
      </c>
      <c r="B72" s="178" t="s">
        <v>30</v>
      </c>
      <c r="C72" s="178" t="s">
        <v>180</v>
      </c>
      <c r="D72" s="178" t="s">
        <v>32</v>
      </c>
      <c r="E72" s="178" t="s">
        <v>115</v>
      </c>
      <c r="F72" s="178">
        <v>782</v>
      </c>
      <c r="G72" s="178">
        <v>80</v>
      </c>
      <c r="H72" s="178">
        <v>18</v>
      </c>
      <c r="I72" s="178">
        <v>1</v>
      </c>
      <c r="J72" s="215">
        <v>0.0626</v>
      </c>
    </row>
    <row r="73" spans="1:10">
      <c r="A73" s="176">
        <v>66</v>
      </c>
      <c r="B73" s="178" t="s">
        <v>30</v>
      </c>
      <c r="C73" s="178" t="s">
        <v>180</v>
      </c>
      <c r="D73" s="178" t="s">
        <v>32</v>
      </c>
      <c r="E73" s="178" t="s">
        <v>115</v>
      </c>
      <c r="F73" s="178">
        <v>782</v>
      </c>
      <c r="G73" s="178">
        <v>80</v>
      </c>
      <c r="H73" s="178">
        <v>18</v>
      </c>
      <c r="I73" s="178">
        <v>1</v>
      </c>
      <c r="J73" s="215">
        <v>0.0626</v>
      </c>
    </row>
    <row r="74" spans="1:10">
      <c r="A74" s="176">
        <v>67</v>
      </c>
      <c r="B74" s="178" t="s">
        <v>30</v>
      </c>
      <c r="C74" s="178" t="s">
        <v>165</v>
      </c>
      <c r="D74" s="178" t="s">
        <v>32</v>
      </c>
      <c r="E74" s="178" t="s">
        <v>115</v>
      </c>
      <c r="F74" s="178">
        <v>774</v>
      </c>
      <c r="G74" s="178">
        <v>330</v>
      </c>
      <c r="H74" s="178">
        <v>18</v>
      </c>
      <c r="I74" s="178">
        <v>1</v>
      </c>
      <c r="J74" s="215">
        <v>0.2554</v>
      </c>
    </row>
    <row r="75" spans="1:10">
      <c r="A75" s="176">
        <v>68</v>
      </c>
      <c r="B75" s="178" t="s">
        <v>30</v>
      </c>
      <c r="C75" s="178" t="s">
        <v>129</v>
      </c>
      <c r="D75" s="178" t="s">
        <v>32</v>
      </c>
      <c r="E75" s="178" t="s">
        <v>115</v>
      </c>
      <c r="F75" s="178">
        <v>373</v>
      </c>
      <c r="G75" s="178">
        <v>296</v>
      </c>
      <c r="H75" s="178">
        <v>18</v>
      </c>
      <c r="I75" s="178">
        <v>1</v>
      </c>
      <c r="J75" s="215">
        <v>0.1104</v>
      </c>
    </row>
    <row r="76" spans="1:10">
      <c r="A76" s="176">
        <v>69</v>
      </c>
      <c r="B76" s="178" t="s">
        <v>30</v>
      </c>
      <c r="C76" s="178" t="s">
        <v>114</v>
      </c>
      <c r="D76" s="178" t="s">
        <v>32</v>
      </c>
      <c r="E76" s="178" t="s">
        <v>115</v>
      </c>
      <c r="F76" s="178">
        <v>624</v>
      </c>
      <c r="G76" s="178">
        <v>383</v>
      </c>
      <c r="H76" s="178">
        <v>9</v>
      </c>
      <c r="I76" s="178">
        <v>1</v>
      </c>
      <c r="J76" s="215">
        <v>0.239</v>
      </c>
    </row>
    <row r="77" spans="1:10">
      <c r="A77" s="176">
        <v>70</v>
      </c>
      <c r="B77" s="178" t="s">
        <v>30</v>
      </c>
      <c r="C77" s="178" t="s">
        <v>180</v>
      </c>
      <c r="D77" s="178" t="s">
        <v>32</v>
      </c>
      <c r="E77" s="178" t="s">
        <v>115</v>
      </c>
      <c r="F77" s="178">
        <v>373</v>
      </c>
      <c r="G77" s="178">
        <v>80</v>
      </c>
      <c r="H77" s="178">
        <v>18</v>
      </c>
      <c r="I77" s="178">
        <v>1</v>
      </c>
      <c r="J77" s="215">
        <v>0.0298</v>
      </c>
    </row>
    <row r="78" spans="1:10">
      <c r="A78" s="176">
        <v>71</v>
      </c>
      <c r="B78" s="178" t="s">
        <v>30</v>
      </c>
      <c r="C78" s="178" t="s">
        <v>180</v>
      </c>
      <c r="D78" s="178" t="s">
        <v>32</v>
      </c>
      <c r="E78" s="178" t="s">
        <v>115</v>
      </c>
      <c r="F78" s="178">
        <v>373</v>
      </c>
      <c r="G78" s="178">
        <v>80</v>
      </c>
      <c r="H78" s="178">
        <v>18</v>
      </c>
      <c r="I78" s="178">
        <v>1</v>
      </c>
      <c r="J78" s="215">
        <v>0.0298</v>
      </c>
    </row>
    <row r="79" spans="1:10">
      <c r="A79" s="176">
        <v>72</v>
      </c>
      <c r="B79" s="178" t="s">
        <v>30</v>
      </c>
      <c r="C79" s="178" t="s">
        <v>142</v>
      </c>
      <c r="D79" s="178" t="s">
        <v>32</v>
      </c>
      <c r="E79" s="178" t="s">
        <v>115</v>
      </c>
      <c r="F79" s="178">
        <v>1964</v>
      </c>
      <c r="G79" s="178">
        <v>192</v>
      </c>
      <c r="H79" s="178">
        <v>18</v>
      </c>
      <c r="I79" s="178">
        <v>1</v>
      </c>
      <c r="J79" s="215">
        <v>0.3771</v>
      </c>
    </row>
    <row r="80" spans="1:10">
      <c r="A80" s="176">
        <v>73</v>
      </c>
      <c r="B80" s="178" t="s">
        <v>30</v>
      </c>
      <c r="C80" s="178" t="s">
        <v>134</v>
      </c>
      <c r="D80" s="178" t="s">
        <v>32</v>
      </c>
      <c r="E80" s="178" t="s">
        <v>115</v>
      </c>
      <c r="F80" s="178">
        <v>810</v>
      </c>
      <c r="G80" s="178">
        <v>330</v>
      </c>
      <c r="H80" s="178">
        <v>18</v>
      </c>
      <c r="I80" s="178">
        <v>1</v>
      </c>
      <c r="J80" s="215">
        <v>0.2673</v>
      </c>
    </row>
    <row r="81" spans="1:10">
      <c r="A81" s="176">
        <v>74</v>
      </c>
      <c r="B81" s="178" t="s">
        <v>30</v>
      </c>
      <c r="C81" s="178" t="s">
        <v>145</v>
      </c>
      <c r="D81" s="178" t="s">
        <v>32</v>
      </c>
      <c r="E81" s="178" t="s">
        <v>115</v>
      </c>
      <c r="F81" s="178">
        <v>2000</v>
      </c>
      <c r="G81" s="178">
        <v>50</v>
      </c>
      <c r="H81" s="178">
        <v>18</v>
      </c>
      <c r="I81" s="178">
        <v>1</v>
      </c>
      <c r="J81" s="215">
        <v>0.1</v>
      </c>
    </row>
    <row r="82" spans="1:10">
      <c r="A82" s="176">
        <v>75</v>
      </c>
      <c r="B82" s="178" t="s">
        <v>30</v>
      </c>
      <c r="C82" s="178" t="s">
        <v>146</v>
      </c>
      <c r="D82" s="178" t="s">
        <v>32</v>
      </c>
      <c r="E82" s="178" t="s">
        <v>115</v>
      </c>
      <c r="F82" s="178">
        <v>2000</v>
      </c>
      <c r="G82" s="178">
        <v>80</v>
      </c>
      <c r="H82" s="178">
        <v>18</v>
      </c>
      <c r="I82" s="178">
        <v>1</v>
      </c>
      <c r="J82" s="215">
        <v>0.16</v>
      </c>
    </row>
    <row r="83" spans="1:10">
      <c r="A83" s="176">
        <v>76</v>
      </c>
      <c r="B83" s="178" t="s">
        <v>30</v>
      </c>
      <c r="C83" s="178" t="s">
        <v>31</v>
      </c>
      <c r="D83" s="178" t="s">
        <v>32</v>
      </c>
      <c r="E83" s="178" t="s">
        <v>33</v>
      </c>
      <c r="F83" s="178">
        <v>857</v>
      </c>
      <c r="G83" s="178">
        <v>397</v>
      </c>
      <c r="H83" s="178">
        <v>18</v>
      </c>
      <c r="I83" s="178">
        <v>1</v>
      </c>
      <c r="J83" s="215">
        <v>0.3402</v>
      </c>
    </row>
    <row r="84" spans="1:10">
      <c r="A84" s="176">
        <v>77</v>
      </c>
      <c r="B84" s="178" t="s">
        <v>30</v>
      </c>
      <c r="C84" s="178" t="s">
        <v>35</v>
      </c>
      <c r="D84" s="178" t="s">
        <v>32</v>
      </c>
      <c r="E84" s="178" t="s">
        <v>33</v>
      </c>
      <c r="F84" s="178">
        <v>857</v>
      </c>
      <c r="G84" s="178">
        <v>397</v>
      </c>
      <c r="H84" s="178">
        <v>18</v>
      </c>
      <c r="I84" s="178">
        <v>1</v>
      </c>
      <c r="J84" s="215">
        <v>0.3402</v>
      </c>
    </row>
    <row r="85" spans="1:10">
      <c r="A85" s="176">
        <v>78</v>
      </c>
      <c r="B85" s="178" t="s">
        <v>30</v>
      </c>
      <c r="C85" s="178" t="s">
        <v>31</v>
      </c>
      <c r="D85" s="178" t="s">
        <v>32</v>
      </c>
      <c r="E85" s="178" t="s">
        <v>111</v>
      </c>
      <c r="F85" s="178">
        <v>857</v>
      </c>
      <c r="G85" s="178">
        <v>397</v>
      </c>
      <c r="H85" s="178">
        <v>18</v>
      </c>
      <c r="I85" s="178">
        <v>1</v>
      </c>
      <c r="J85" s="215">
        <v>0.3402</v>
      </c>
    </row>
    <row r="86" spans="1:10">
      <c r="A86" s="176">
        <v>79</v>
      </c>
      <c r="B86" s="178" t="s">
        <v>30</v>
      </c>
      <c r="C86" s="178" t="s">
        <v>35</v>
      </c>
      <c r="D86" s="178" t="s">
        <v>32</v>
      </c>
      <c r="E86" s="178" t="s">
        <v>111</v>
      </c>
      <c r="F86" s="178">
        <v>857</v>
      </c>
      <c r="G86" s="178">
        <v>397</v>
      </c>
      <c r="H86" s="178">
        <v>18</v>
      </c>
      <c r="I86" s="178">
        <v>1</v>
      </c>
      <c r="J86" s="215">
        <v>0.3402</v>
      </c>
    </row>
    <row r="87" spans="1:10">
      <c r="A87" s="176">
        <v>80</v>
      </c>
      <c r="B87" s="178" t="s">
        <v>30</v>
      </c>
      <c r="C87" s="178" t="s">
        <v>35</v>
      </c>
      <c r="D87" s="178" t="s">
        <v>32</v>
      </c>
      <c r="E87" s="178" t="s">
        <v>111</v>
      </c>
      <c r="F87" s="178">
        <v>857</v>
      </c>
      <c r="G87" s="178">
        <v>397</v>
      </c>
      <c r="H87" s="178">
        <v>18</v>
      </c>
      <c r="I87" s="178">
        <v>1</v>
      </c>
      <c r="J87" s="215">
        <v>0.3402</v>
      </c>
    </row>
    <row r="88" spans="1:10">
      <c r="A88" s="176">
        <v>81</v>
      </c>
      <c r="B88" s="178" t="s">
        <v>30</v>
      </c>
      <c r="C88" s="178" t="s">
        <v>31</v>
      </c>
      <c r="D88" s="178" t="s">
        <v>32</v>
      </c>
      <c r="E88" s="178" t="s">
        <v>111</v>
      </c>
      <c r="F88" s="178">
        <v>844</v>
      </c>
      <c r="G88" s="178">
        <v>397</v>
      </c>
      <c r="H88" s="178">
        <v>18</v>
      </c>
      <c r="I88" s="178">
        <v>1</v>
      </c>
      <c r="J88" s="215">
        <v>0.3351</v>
      </c>
    </row>
    <row r="89" spans="1:10">
      <c r="A89" s="176">
        <v>82</v>
      </c>
      <c r="B89" s="178" t="s">
        <v>30</v>
      </c>
      <c r="C89" s="178" t="s">
        <v>35</v>
      </c>
      <c r="D89" s="178" t="s">
        <v>32</v>
      </c>
      <c r="E89" s="178" t="s">
        <v>111</v>
      </c>
      <c r="F89" s="178">
        <v>844</v>
      </c>
      <c r="G89" s="178">
        <v>397</v>
      </c>
      <c r="H89" s="178">
        <v>18</v>
      </c>
      <c r="I89" s="178">
        <v>1</v>
      </c>
      <c r="J89" s="215">
        <v>0.3351</v>
      </c>
    </row>
    <row r="90" spans="1:10">
      <c r="A90" s="176">
        <v>83</v>
      </c>
      <c r="B90" s="178" t="s">
        <v>30</v>
      </c>
      <c r="C90" s="178" t="s">
        <v>31</v>
      </c>
      <c r="D90" s="178" t="s">
        <v>32</v>
      </c>
      <c r="E90" s="178" t="s">
        <v>111</v>
      </c>
      <c r="F90" s="178">
        <v>844</v>
      </c>
      <c r="G90" s="178">
        <v>397</v>
      </c>
      <c r="H90" s="178">
        <v>18</v>
      </c>
      <c r="I90" s="178">
        <v>1</v>
      </c>
      <c r="J90" s="215">
        <v>0.3351</v>
      </c>
    </row>
    <row r="91" spans="1:10">
      <c r="A91" s="176">
        <v>84</v>
      </c>
      <c r="B91" s="178" t="s">
        <v>30</v>
      </c>
      <c r="C91" s="178" t="s">
        <v>35</v>
      </c>
      <c r="D91" s="178" t="s">
        <v>32</v>
      </c>
      <c r="E91" s="178" t="s">
        <v>111</v>
      </c>
      <c r="F91" s="178">
        <v>844</v>
      </c>
      <c r="G91" s="178">
        <v>397</v>
      </c>
      <c r="H91" s="178">
        <v>18</v>
      </c>
      <c r="I91" s="178">
        <v>1</v>
      </c>
      <c r="J91" s="215">
        <v>0.3351</v>
      </c>
    </row>
    <row r="92" spans="1:10">
      <c r="A92" s="176">
        <v>85</v>
      </c>
      <c r="B92" s="178" t="s">
        <v>30</v>
      </c>
      <c r="C92" s="178" t="s">
        <v>35</v>
      </c>
      <c r="D92" s="178" t="s">
        <v>32</v>
      </c>
      <c r="E92" s="178" t="s">
        <v>111</v>
      </c>
      <c r="F92" s="178">
        <v>844</v>
      </c>
      <c r="G92" s="178">
        <v>397</v>
      </c>
      <c r="H92" s="178">
        <v>18</v>
      </c>
      <c r="I92" s="178">
        <v>1</v>
      </c>
      <c r="J92" s="215">
        <v>0.3351</v>
      </c>
    </row>
    <row r="93" spans="1:10">
      <c r="A93" s="176">
        <v>86</v>
      </c>
      <c r="B93" s="178" t="s">
        <v>30</v>
      </c>
      <c r="C93" s="178" t="s">
        <v>114</v>
      </c>
      <c r="D93" s="178" t="s">
        <v>32</v>
      </c>
      <c r="E93" s="178" t="s">
        <v>115</v>
      </c>
      <c r="F93" s="178">
        <v>178</v>
      </c>
      <c r="G93" s="178">
        <v>1964</v>
      </c>
      <c r="H93" s="178">
        <v>18</v>
      </c>
      <c r="I93" s="178">
        <v>1</v>
      </c>
      <c r="J93" s="215">
        <v>0.3496</v>
      </c>
    </row>
    <row r="94" spans="1:10">
      <c r="A94" s="176">
        <v>87</v>
      </c>
      <c r="B94" s="178" t="s">
        <v>30</v>
      </c>
      <c r="C94" s="178" t="s">
        <v>142</v>
      </c>
      <c r="D94" s="178" t="s">
        <v>32</v>
      </c>
      <c r="E94" s="178" t="s">
        <v>115</v>
      </c>
      <c r="F94" s="178">
        <v>1964</v>
      </c>
      <c r="G94" s="178">
        <v>120</v>
      </c>
      <c r="H94" s="178">
        <v>18</v>
      </c>
      <c r="I94" s="178">
        <v>1</v>
      </c>
      <c r="J94" s="215">
        <v>0.2357</v>
      </c>
    </row>
    <row r="95" spans="1:10">
      <c r="A95" s="176">
        <v>88</v>
      </c>
      <c r="B95" s="178" t="s">
        <v>36</v>
      </c>
      <c r="C95" s="178" t="s">
        <v>139</v>
      </c>
      <c r="D95" s="178" t="s">
        <v>32</v>
      </c>
      <c r="E95" s="178" t="s">
        <v>115</v>
      </c>
      <c r="F95" s="178">
        <v>2370</v>
      </c>
      <c r="G95" s="178">
        <v>330</v>
      </c>
      <c r="H95" s="178">
        <v>18</v>
      </c>
      <c r="I95" s="178">
        <v>1</v>
      </c>
      <c r="J95" s="215">
        <v>0.7821</v>
      </c>
    </row>
    <row r="96" spans="1:10">
      <c r="A96" s="176">
        <v>89</v>
      </c>
      <c r="B96" s="178" t="s">
        <v>36</v>
      </c>
      <c r="C96" s="178" t="s">
        <v>199</v>
      </c>
      <c r="D96" s="178" t="s">
        <v>32</v>
      </c>
      <c r="E96" s="178" t="s">
        <v>115</v>
      </c>
      <c r="F96" s="178">
        <v>432</v>
      </c>
      <c r="G96" s="178">
        <v>60</v>
      </c>
      <c r="H96" s="178">
        <v>18</v>
      </c>
      <c r="I96" s="178">
        <v>1</v>
      </c>
      <c r="J96" s="215">
        <v>0.0259</v>
      </c>
    </row>
    <row r="97" spans="1:10">
      <c r="A97" s="176">
        <v>90</v>
      </c>
      <c r="B97" s="178" t="s">
        <v>36</v>
      </c>
      <c r="C97" s="178" t="s">
        <v>199</v>
      </c>
      <c r="D97" s="178" t="s">
        <v>32</v>
      </c>
      <c r="E97" s="178" t="s">
        <v>115</v>
      </c>
      <c r="F97" s="178">
        <v>432</v>
      </c>
      <c r="G97" s="178">
        <v>60</v>
      </c>
      <c r="H97" s="178">
        <v>18</v>
      </c>
      <c r="I97" s="178">
        <v>1</v>
      </c>
      <c r="J97" s="215">
        <v>0.0259</v>
      </c>
    </row>
    <row r="98" spans="1:10">
      <c r="A98" s="176">
        <v>91</v>
      </c>
      <c r="B98" s="178" t="s">
        <v>36</v>
      </c>
      <c r="C98" s="178" t="s">
        <v>117</v>
      </c>
      <c r="D98" s="178" t="s">
        <v>32</v>
      </c>
      <c r="E98" s="178" t="s">
        <v>115</v>
      </c>
      <c r="F98" s="178">
        <v>432</v>
      </c>
      <c r="G98" s="178">
        <v>330</v>
      </c>
      <c r="H98" s="178">
        <v>18</v>
      </c>
      <c r="I98" s="178">
        <v>1</v>
      </c>
      <c r="J98" s="215">
        <v>0.1426</v>
      </c>
    </row>
    <row r="99" spans="1:10">
      <c r="A99" s="176">
        <v>92</v>
      </c>
      <c r="B99" s="178" t="s">
        <v>36</v>
      </c>
      <c r="C99" s="178" t="s">
        <v>114</v>
      </c>
      <c r="D99" s="178" t="s">
        <v>32</v>
      </c>
      <c r="E99" s="178" t="s">
        <v>115</v>
      </c>
      <c r="F99" s="178">
        <v>450</v>
      </c>
      <c r="G99" s="178">
        <v>442</v>
      </c>
      <c r="H99" s="178">
        <v>9</v>
      </c>
      <c r="I99" s="178">
        <v>1</v>
      </c>
      <c r="J99" s="215">
        <v>0.1989</v>
      </c>
    </row>
    <row r="100" spans="1:10">
      <c r="A100" s="176">
        <v>93</v>
      </c>
      <c r="B100" s="178" t="s">
        <v>36</v>
      </c>
      <c r="C100" s="178" t="s">
        <v>129</v>
      </c>
      <c r="D100" s="178" t="s">
        <v>32</v>
      </c>
      <c r="E100" s="178" t="s">
        <v>115</v>
      </c>
      <c r="F100" s="178">
        <v>432</v>
      </c>
      <c r="G100" s="178">
        <v>325</v>
      </c>
      <c r="H100" s="178">
        <v>18</v>
      </c>
      <c r="I100" s="178">
        <v>1</v>
      </c>
      <c r="J100" s="215">
        <v>0.1404</v>
      </c>
    </row>
    <row r="101" spans="1:10">
      <c r="A101" s="176">
        <v>94</v>
      </c>
      <c r="B101" s="178" t="s">
        <v>36</v>
      </c>
      <c r="C101" s="178" t="s">
        <v>114</v>
      </c>
      <c r="D101" s="178" t="s">
        <v>32</v>
      </c>
      <c r="E101" s="178" t="s">
        <v>115</v>
      </c>
      <c r="F101" s="178">
        <v>450</v>
      </c>
      <c r="G101" s="178">
        <v>442</v>
      </c>
      <c r="H101" s="178">
        <v>9</v>
      </c>
      <c r="I101" s="178">
        <v>1</v>
      </c>
      <c r="J101" s="215">
        <v>0.1989</v>
      </c>
    </row>
    <row r="102" spans="1:10">
      <c r="A102" s="176">
        <v>95</v>
      </c>
      <c r="B102" s="178" t="s">
        <v>36</v>
      </c>
      <c r="C102" s="178" t="s">
        <v>129</v>
      </c>
      <c r="D102" s="178" t="s">
        <v>32</v>
      </c>
      <c r="E102" s="178" t="s">
        <v>115</v>
      </c>
      <c r="F102" s="178">
        <v>432</v>
      </c>
      <c r="G102" s="178">
        <v>325</v>
      </c>
      <c r="H102" s="178">
        <v>18</v>
      </c>
      <c r="I102" s="178">
        <v>1</v>
      </c>
      <c r="J102" s="215">
        <v>0.1404</v>
      </c>
    </row>
    <row r="103" spans="1:10">
      <c r="A103" s="176">
        <v>96</v>
      </c>
      <c r="B103" s="178" t="s">
        <v>36</v>
      </c>
      <c r="C103" s="178" t="s">
        <v>114</v>
      </c>
      <c r="D103" s="178" t="s">
        <v>32</v>
      </c>
      <c r="E103" s="178" t="s">
        <v>115</v>
      </c>
      <c r="F103" s="178">
        <v>450</v>
      </c>
      <c r="G103" s="178">
        <v>442</v>
      </c>
      <c r="H103" s="178">
        <v>9</v>
      </c>
      <c r="I103" s="178">
        <v>1</v>
      </c>
      <c r="J103" s="215">
        <v>0.1989</v>
      </c>
    </row>
    <row r="104" spans="1:10">
      <c r="A104" s="176">
        <v>97</v>
      </c>
      <c r="B104" s="178" t="s">
        <v>36</v>
      </c>
      <c r="C104" s="178" t="s">
        <v>129</v>
      </c>
      <c r="D104" s="178" t="s">
        <v>32</v>
      </c>
      <c r="E104" s="178" t="s">
        <v>115</v>
      </c>
      <c r="F104" s="178">
        <v>432</v>
      </c>
      <c r="G104" s="178">
        <v>325</v>
      </c>
      <c r="H104" s="178">
        <v>18</v>
      </c>
      <c r="I104" s="178">
        <v>1</v>
      </c>
      <c r="J104" s="215">
        <v>0.1404</v>
      </c>
    </row>
    <row r="105" spans="1:10">
      <c r="A105" s="176">
        <v>98</v>
      </c>
      <c r="B105" s="178" t="s">
        <v>36</v>
      </c>
      <c r="C105" s="178" t="s">
        <v>114</v>
      </c>
      <c r="D105" s="178" t="s">
        <v>32</v>
      </c>
      <c r="E105" s="178" t="s">
        <v>115</v>
      </c>
      <c r="F105" s="178">
        <v>450</v>
      </c>
      <c r="G105" s="178">
        <v>442</v>
      </c>
      <c r="H105" s="178">
        <v>9</v>
      </c>
      <c r="I105" s="178">
        <v>1</v>
      </c>
      <c r="J105" s="215">
        <v>0.1989</v>
      </c>
    </row>
    <row r="106" spans="1:10">
      <c r="A106" s="176">
        <v>99</v>
      </c>
      <c r="B106" s="178" t="s">
        <v>36</v>
      </c>
      <c r="C106" s="178" t="s">
        <v>129</v>
      </c>
      <c r="D106" s="178" t="s">
        <v>32</v>
      </c>
      <c r="E106" s="178" t="s">
        <v>115</v>
      </c>
      <c r="F106" s="178">
        <v>432</v>
      </c>
      <c r="G106" s="178">
        <v>325</v>
      </c>
      <c r="H106" s="178">
        <v>18</v>
      </c>
      <c r="I106" s="178">
        <v>1</v>
      </c>
      <c r="J106" s="215">
        <v>0.1404</v>
      </c>
    </row>
    <row r="107" spans="1:10">
      <c r="A107" s="176">
        <v>100</v>
      </c>
      <c r="B107" s="178" t="s">
        <v>36</v>
      </c>
      <c r="C107" s="178" t="s">
        <v>114</v>
      </c>
      <c r="D107" s="178" t="s">
        <v>32</v>
      </c>
      <c r="E107" s="178" t="s">
        <v>115</v>
      </c>
      <c r="F107" s="178">
        <v>292</v>
      </c>
      <c r="G107" s="178">
        <v>442</v>
      </c>
      <c r="H107" s="178">
        <v>9</v>
      </c>
      <c r="I107" s="178">
        <v>1</v>
      </c>
      <c r="J107" s="215">
        <v>0.1291</v>
      </c>
    </row>
    <row r="108" spans="1:10">
      <c r="A108" s="176">
        <v>101</v>
      </c>
      <c r="B108" s="178" t="s">
        <v>36</v>
      </c>
      <c r="C108" s="178" t="s">
        <v>142</v>
      </c>
      <c r="D108" s="178" t="s">
        <v>32</v>
      </c>
      <c r="E108" s="178" t="s">
        <v>115</v>
      </c>
      <c r="F108" s="178">
        <v>432</v>
      </c>
      <c r="G108" s="178">
        <v>192</v>
      </c>
      <c r="H108" s="178">
        <v>18</v>
      </c>
      <c r="I108" s="178">
        <v>1</v>
      </c>
      <c r="J108" s="215">
        <v>0.0829</v>
      </c>
    </row>
    <row r="109" spans="1:10">
      <c r="A109" s="176">
        <v>102</v>
      </c>
      <c r="B109" s="178" t="s">
        <v>36</v>
      </c>
      <c r="C109" s="178" t="s">
        <v>134</v>
      </c>
      <c r="D109" s="178" t="s">
        <v>32</v>
      </c>
      <c r="E109" s="178" t="s">
        <v>115</v>
      </c>
      <c r="F109" s="178">
        <v>2370</v>
      </c>
      <c r="G109" s="178">
        <v>330</v>
      </c>
      <c r="H109" s="178">
        <v>18</v>
      </c>
      <c r="I109" s="178">
        <v>1</v>
      </c>
      <c r="J109" s="215">
        <v>0.7821</v>
      </c>
    </row>
    <row r="110" spans="1:10">
      <c r="A110" s="176">
        <v>103</v>
      </c>
      <c r="B110" s="178" t="s">
        <v>36</v>
      </c>
      <c r="C110" s="178" t="s">
        <v>145</v>
      </c>
      <c r="D110" s="178" t="s">
        <v>32</v>
      </c>
      <c r="E110" s="178" t="s">
        <v>115</v>
      </c>
      <c r="F110" s="178">
        <v>468</v>
      </c>
      <c r="G110" s="178">
        <v>50</v>
      </c>
      <c r="H110" s="178">
        <v>18</v>
      </c>
      <c r="I110" s="178">
        <v>1</v>
      </c>
      <c r="J110" s="215">
        <v>0.0234</v>
      </c>
    </row>
    <row r="111" spans="1:10">
      <c r="A111" s="176">
        <v>104</v>
      </c>
      <c r="B111" s="178" t="s">
        <v>36</v>
      </c>
      <c r="C111" s="178" t="s">
        <v>146</v>
      </c>
      <c r="D111" s="178" t="s">
        <v>32</v>
      </c>
      <c r="E111" s="178" t="s">
        <v>115</v>
      </c>
      <c r="F111" s="178">
        <v>468</v>
      </c>
      <c r="G111" s="178">
        <v>80</v>
      </c>
      <c r="H111" s="178">
        <v>18</v>
      </c>
      <c r="I111" s="178">
        <v>1</v>
      </c>
      <c r="J111" s="215">
        <v>0.0374</v>
      </c>
    </row>
    <row r="112" spans="1:10">
      <c r="A112" s="176">
        <v>105</v>
      </c>
      <c r="B112" s="178" t="s">
        <v>36</v>
      </c>
      <c r="C112" s="178" t="s">
        <v>35</v>
      </c>
      <c r="D112" s="178" t="s">
        <v>32</v>
      </c>
      <c r="E112" s="178" t="s">
        <v>33</v>
      </c>
      <c r="F112" s="178">
        <v>2387</v>
      </c>
      <c r="G112" s="178">
        <v>465</v>
      </c>
      <c r="H112" s="178">
        <v>18</v>
      </c>
      <c r="I112" s="178">
        <v>1</v>
      </c>
      <c r="J112" s="215">
        <v>1.11</v>
      </c>
    </row>
    <row r="113" spans="1:10">
      <c r="A113" s="176">
        <v>106</v>
      </c>
      <c r="B113" s="178" t="s">
        <v>36</v>
      </c>
      <c r="C113" s="178" t="s">
        <v>114</v>
      </c>
      <c r="D113" s="178" t="s">
        <v>32</v>
      </c>
      <c r="E113" s="178" t="s">
        <v>115</v>
      </c>
      <c r="F113" s="178">
        <v>178</v>
      </c>
      <c r="G113" s="178">
        <v>432</v>
      </c>
      <c r="H113" s="178">
        <v>18</v>
      </c>
      <c r="I113" s="178">
        <v>1</v>
      </c>
      <c r="J113" s="215">
        <v>0.0769</v>
      </c>
    </row>
    <row r="114" spans="1:10">
      <c r="A114" s="176">
        <v>107</v>
      </c>
      <c r="B114" s="178" t="s">
        <v>36</v>
      </c>
      <c r="C114" s="178" t="s">
        <v>142</v>
      </c>
      <c r="D114" s="178" t="s">
        <v>32</v>
      </c>
      <c r="E114" s="178" t="s">
        <v>115</v>
      </c>
      <c r="F114" s="178">
        <v>432</v>
      </c>
      <c r="G114" s="178">
        <v>120</v>
      </c>
      <c r="H114" s="178">
        <v>18</v>
      </c>
      <c r="I114" s="178">
        <v>1</v>
      </c>
      <c r="J114" s="215">
        <v>0.0518</v>
      </c>
    </row>
    <row r="115" spans="1:10">
      <c r="A115" s="176">
        <v>108</v>
      </c>
      <c r="B115" s="178" t="s">
        <v>552</v>
      </c>
      <c r="C115" s="178" t="s">
        <v>213</v>
      </c>
      <c r="D115" s="178" t="s">
        <v>32</v>
      </c>
      <c r="E115" s="178" t="s">
        <v>111</v>
      </c>
      <c r="F115" s="178">
        <v>1153.7</v>
      </c>
      <c r="G115" s="178">
        <v>2305</v>
      </c>
      <c r="H115" s="178">
        <v>18</v>
      </c>
      <c r="I115" s="178">
        <v>1</v>
      </c>
      <c r="J115" s="215">
        <v>2.6593</v>
      </c>
    </row>
    <row r="116" spans="1:10">
      <c r="A116" s="176">
        <v>109</v>
      </c>
      <c r="B116" s="178" t="s">
        <v>552</v>
      </c>
      <c r="C116" s="178" t="s">
        <v>215</v>
      </c>
      <c r="D116" s="178" t="s">
        <v>32</v>
      </c>
      <c r="E116" s="178" t="s">
        <v>115</v>
      </c>
      <c r="F116" s="178">
        <v>200</v>
      </c>
      <c r="G116" s="178">
        <v>432</v>
      </c>
      <c r="H116" s="178">
        <v>18</v>
      </c>
      <c r="I116" s="178">
        <v>1</v>
      </c>
      <c r="J116" s="215">
        <v>0.0864</v>
      </c>
    </row>
    <row r="117" spans="1:10">
      <c r="A117" s="176">
        <v>110</v>
      </c>
      <c r="B117" s="178" t="s">
        <v>552</v>
      </c>
      <c r="C117" s="178" t="s">
        <v>217</v>
      </c>
      <c r="D117" s="178" t="s">
        <v>32</v>
      </c>
      <c r="E117" s="178" t="s">
        <v>115</v>
      </c>
      <c r="F117" s="178">
        <v>200</v>
      </c>
      <c r="G117" s="178">
        <v>414</v>
      </c>
      <c r="H117" s="178">
        <v>18</v>
      </c>
      <c r="I117" s="178">
        <v>1</v>
      </c>
      <c r="J117" s="215">
        <v>0.0828</v>
      </c>
    </row>
    <row r="118" spans="1:10">
      <c r="A118" s="176">
        <v>111</v>
      </c>
      <c r="B118" s="178" t="s">
        <v>552</v>
      </c>
      <c r="C118" s="178" t="s">
        <v>217</v>
      </c>
      <c r="D118" s="178" t="s">
        <v>32</v>
      </c>
      <c r="E118" s="178" t="s">
        <v>115</v>
      </c>
      <c r="F118" s="178">
        <v>200</v>
      </c>
      <c r="G118" s="178">
        <v>414</v>
      </c>
      <c r="H118" s="178">
        <v>18</v>
      </c>
      <c r="I118" s="178">
        <v>1</v>
      </c>
      <c r="J118" s="215">
        <v>0.0828</v>
      </c>
    </row>
    <row r="119" spans="1:10">
      <c r="A119" s="176">
        <v>112</v>
      </c>
      <c r="B119" s="178" t="s">
        <v>552</v>
      </c>
      <c r="C119" s="178" t="s">
        <v>217</v>
      </c>
      <c r="D119" s="178" t="s">
        <v>32</v>
      </c>
      <c r="E119" s="178" t="s">
        <v>115</v>
      </c>
      <c r="F119" s="178">
        <v>200</v>
      </c>
      <c r="G119" s="178">
        <v>414</v>
      </c>
      <c r="H119" s="178">
        <v>18</v>
      </c>
      <c r="I119" s="178">
        <v>1</v>
      </c>
      <c r="J119" s="215">
        <v>0.0828</v>
      </c>
    </row>
    <row r="120" spans="1:10">
      <c r="A120" s="176">
        <v>113</v>
      </c>
      <c r="B120" s="178" t="s">
        <v>552</v>
      </c>
      <c r="C120" s="178" t="s">
        <v>217</v>
      </c>
      <c r="D120" s="178" t="s">
        <v>32</v>
      </c>
      <c r="E120" s="178" t="s">
        <v>115</v>
      </c>
      <c r="F120" s="178">
        <v>200</v>
      </c>
      <c r="G120" s="178">
        <v>414</v>
      </c>
      <c r="H120" s="178">
        <v>18</v>
      </c>
      <c r="I120" s="178">
        <v>1</v>
      </c>
      <c r="J120" s="215">
        <v>0.0828</v>
      </c>
    </row>
    <row r="121" spans="1:10">
      <c r="A121" s="176">
        <v>114</v>
      </c>
      <c r="B121" s="178" t="s">
        <v>552</v>
      </c>
      <c r="C121" s="178" t="s">
        <v>217</v>
      </c>
      <c r="D121" s="178" t="s">
        <v>32</v>
      </c>
      <c r="E121" s="178" t="s">
        <v>115</v>
      </c>
      <c r="F121" s="178">
        <v>200</v>
      </c>
      <c r="G121" s="178">
        <v>414</v>
      </c>
      <c r="H121" s="178">
        <v>18</v>
      </c>
      <c r="I121" s="178">
        <v>1</v>
      </c>
      <c r="J121" s="215">
        <v>0.0828</v>
      </c>
    </row>
    <row r="122" spans="1:10">
      <c r="A122" s="176">
        <v>115</v>
      </c>
      <c r="B122" s="178" t="s">
        <v>552</v>
      </c>
      <c r="C122" s="178" t="s">
        <v>114</v>
      </c>
      <c r="D122" s="178" t="s">
        <v>32</v>
      </c>
      <c r="E122" s="178" t="s">
        <v>115</v>
      </c>
      <c r="F122" s="178">
        <v>2229</v>
      </c>
      <c r="G122" s="178">
        <v>200</v>
      </c>
      <c r="H122" s="178">
        <v>18</v>
      </c>
      <c r="I122" s="178">
        <v>1</v>
      </c>
      <c r="J122" s="215">
        <v>0.4458</v>
      </c>
    </row>
    <row r="123" spans="1:10">
      <c r="A123" s="176">
        <v>116</v>
      </c>
      <c r="B123" s="178" t="s">
        <v>552</v>
      </c>
      <c r="C123" s="178" t="s">
        <v>220</v>
      </c>
      <c r="D123" s="178" t="s">
        <v>32</v>
      </c>
      <c r="E123" s="178" t="s">
        <v>115</v>
      </c>
      <c r="F123" s="178">
        <v>200</v>
      </c>
      <c r="G123" s="178">
        <v>432</v>
      </c>
      <c r="H123" s="178">
        <v>18</v>
      </c>
      <c r="I123" s="178">
        <v>1</v>
      </c>
      <c r="J123" s="215">
        <v>0.0864</v>
      </c>
    </row>
    <row r="124" spans="1:10">
      <c r="A124" s="176">
        <v>117</v>
      </c>
      <c r="B124" s="178" t="s">
        <v>552</v>
      </c>
      <c r="C124" s="178" t="s">
        <v>221</v>
      </c>
      <c r="D124" s="178" t="s">
        <v>32</v>
      </c>
      <c r="E124" s="178" t="s">
        <v>115</v>
      </c>
      <c r="F124" s="178">
        <v>2285</v>
      </c>
      <c r="G124" s="178">
        <v>432</v>
      </c>
      <c r="H124" s="178">
        <v>18</v>
      </c>
      <c r="I124" s="178">
        <v>1</v>
      </c>
      <c r="J124" s="215">
        <v>0.9871</v>
      </c>
    </row>
    <row r="125" spans="1:10">
      <c r="A125" s="176">
        <v>118</v>
      </c>
      <c r="B125" s="178" t="s">
        <v>552</v>
      </c>
      <c r="C125" s="178" t="s">
        <v>223</v>
      </c>
      <c r="D125" s="178" t="s">
        <v>32</v>
      </c>
      <c r="E125" s="178" t="s">
        <v>115</v>
      </c>
      <c r="F125" s="178">
        <v>2305</v>
      </c>
      <c r="G125" s="178">
        <v>620</v>
      </c>
      <c r="H125" s="178">
        <v>18</v>
      </c>
      <c r="I125" s="178">
        <v>1</v>
      </c>
      <c r="J125" s="215">
        <v>1.4291</v>
      </c>
    </row>
    <row r="126" spans="1:10">
      <c r="A126" s="176">
        <v>119</v>
      </c>
      <c r="B126" s="178" t="s">
        <v>553</v>
      </c>
      <c r="C126" s="178" t="s">
        <v>114</v>
      </c>
      <c r="D126" s="178" t="s">
        <v>32</v>
      </c>
      <c r="E126" s="178" t="s">
        <v>115</v>
      </c>
      <c r="F126" s="178">
        <v>1850</v>
      </c>
      <c r="G126" s="178">
        <v>920</v>
      </c>
      <c r="H126" s="178">
        <v>18</v>
      </c>
      <c r="I126" s="178">
        <v>1</v>
      </c>
      <c r="J126" s="215">
        <v>1.702</v>
      </c>
    </row>
    <row r="127" spans="1:10">
      <c r="A127" s="176">
        <v>120</v>
      </c>
      <c r="B127" s="178" t="s">
        <v>553</v>
      </c>
      <c r="C127" s="178" t="s">
        <v>110</v>
      </c>
      <c r="D127" s="178" t="s">
        <v>32</v>
      </c>
      <c r="E127" s="178" t="s">
        <v>115</v>
      </c>
      <c r="F127" s="178">
        <v>405</v>
      </c>
      <c r="G127" s="178">
        <v>620</v>
      </c>
      <c r="H127" s="178">
        <v>18</v>
      </c>
      <c r="I127" s="178">
        <v>1</v>
      </c>
      <c r="J127" s="215">
        <v>0.2511</v>
      </c>
    </row>
    <row r="128" spans="1:10">
      <c r="A128" s="176">
        <v>121</v>
      </c>
      <c r="B128" s="178" t="s">
        <v>553</v>
      </c>
      <c r="C128" s="178" t="s">
        <v>117</v>
      </c>
      <c r="D128" s="178" t="s">
        <v>32</v>
      </c>
      <c r="E128" s="178" t="s">
        <v>115</v>
      </c>
      <c r="F128" s="178">
        <v>884</v>
      </c>
      <c r="G128" s="178">
        <v>620</v>
      </c>
      <c r="H128" s="178">
        <v>18</v>
      </c>
      <c r="I128" s="178">
        <v>1</v>
      </c>
      <c r="J128" s="215">
        <v>0.5481</v>
      </c>
    </row>
    <row r="129" spans="1:10">
      <c r="A129" s="176">
        <v>122</v>
      </c>
      <c r="B129" s="178" t="s">
        <v>553</v>
      </c>
      <c r="C129" s="178" t="s">
        <v>114</v>
      </c>
      <c r="D129" s="178" t="s">
        <v>32</v>
      </c>
      <c r="E129" s="178" t="s">
        <v>115</v>
      </c>
      <c r="F129" s="178">
        <v>379</v>
      </c>
      <c r="G129" s="178">
        <v>894</v>
      </c>
      <c r="H129" s="178">
        <v>9</v>
      </c>
      <c r="I129" s="178">
        <v>1</v>
      </c>
      <c r="J129" s="215">
        <v>0.3388</v>
      </c>
    </row>
    <row r="130" spans="1:10">
      <c r="A130" s="176">
        <v>123</v>
      </c>
      <c r="B130" s="178" t="s">
        <v>553</v>
      </c>
      <c r="C130" s="178" t="s">
        <v>180</v>
      </c>
      <c r="D130" s="178" t="s">
        <v>32</v>
      </c>
      <c r="E130" s="178" t="s">
        <v>115</v>
      </c>
      <c r="F130" s="178">
        <v>884</v>
      </c>
      <c r="G130" s="178">
        <v>80</v>
      </c>
      <c r="H130" s="178">
        <v>18</v>
      </c>
      <c r="I130" s="178">
        <v>1</v>
      </c>
      <c r="J130" s="215">
        <v>0.0707</v>
      </c>
    </row>
    <row r="131" spans="1:10">
      <c r="A131" s="176">
        <v>124</v>
      </c>
      <c r="B131" s="178" t="s">
        <v>553</v>
      </c>
      <c r="C131" s="178" t="s">
        <v>180</v>
      </c>
      <c r="D131" s="178" t="s">
        <v>32</v>
      </c>
      <c r="E131" s="178" t="s">
        <v>115</v>
      </c>
      <c r="F131" s="178">
        <v>884</v>
      </c>
      <c r="G131" s="178">
        <v>80</v>
      </c>
      <c r="H131" s="178">
        <v>18</v>
      </c>
      <c r="I131" s="178">
        <v>1</v>
      </c>
      <c r="J131" s="215">
        <v>0.0707</v>
      </c>
    </row>
    <row r="132" spans="1:10">
      <c r="A132" s="176">
        <v>125</v>
      </c>
      <c r="B132" s="178" t="s">
        <v>553</v>
      </c>
      <c r="C132" s="178" t="s">
        <v>142</v>
      </c>
      <c r="D132" s="178" t="s">
        <v>32</v>
      </c>
      <c r="E132" s="178" t="s">
        <v>115</v>
      </c>
      <c r="F132" s="178">
        <v>884</v>
      </c>
      <c r="G132" s="178">
        <v>620</v>
      </c>
      <c r="H132" s="178">
        <v>18</v>
      </c>
      <c r="I132" s="178">
        <v>1</v>
      </c>
      <c r="J132" s="215">
        <v>0.5481</v>
      </c>
    </row>
    <row r="133" spans="1:10">
      <c r="A133" s="176">
        <v>126</v>
      </c>
      <c r="B133" s="178" t="s">
        <v>553</v>
      </c>
      <c r="C133" s="178" t="s">
        <v>223</v>
      </c>
      <c r="D133" s="178" t="s">
        <v>32</v>
      </c>
      <c r="E133" s="178" t="s">
        <v>115</v>
      </c>
      <c r="F133" s="178">
        <v>405</v>
      </c>
      <c r="G133" s="178">
        <v>620</v>
      </c>
      <c r="H133" s="178">
        <v>18</v>
      </c>
      <c r="I133" s="178">
        <v>1</v>
      </c>
      <c r="J133" s="215">
        <v>0.2511</v>
      </c>
    </row>
    <row r="134" spans="1:10">
      <c r="A134" s="176">
        <v>127</v>
      </c>
      <c r="B134" s="178" t="s">
        <v>553</v>
      </c>
      <c r="C134" s="178" t="s">
        <v>145</v>
      </c>
      <c r="D134" s="178" t="s">
        <v>32</v>
      </c>
      <c r="E134" s="178" t="s">
        <v>115</v>
      </c>
      <c r="F134" s="178">
        <v>920</v>
      </c>
      <c r="G134" s="178">
        <v>50</v>
      </c>
      <c r="H134" s="178">
        <v>18</v>
      </c>
      <c r="I134" s="178">
        <v>1</v>
      </c>
      <c r="J134" s="215">
        <v>0.046</v>
      </c>
    </row>
    <row r="135" spans="1:10">
      <c r="A135" s="176">
        <v>128</v>
      </c>
      <c r="B135" s="178" t="s">
        <v>553</v>
      </c>
      <c r="C135" s="178" t="s">
        <v>146</v>
      </c>
      <c r="D135" s="178" t="s">
        <v>32</v>
      </c>
      <c r="E135" s="178" t="s">
        <v>115</v>
      </c>
      <c r="F135" s="178">
        <v>920</v>
      </c>
      <c r="G135" s="178">
        <v>80</v>
      </c>
      <c r="H135" s="178">
        <v>18</v>
      </c>
      <c r="I135" s="178">
        <v>1</v>
      </c>
      <c r="J135" s="215">
        <v>0.0736</v>
      </c>
    </row>
    <row r="136" spans="1:10">
      <c r="A136" s="176">
        <v>129</v>
      </c>
      <c r="B136" s="178" t="s">
        <v>553</v>
      </c>
      <c r="C136" s="178" t="s">
        <v>31</v>
      </c>
      <c r="D136" s="178" t="s">
        <v>32</v>
      </c>
      <c r="E136" s="178" t="s">
        <v>111</v>
      </c>
      <c r="F136" s="178">
        <v>442</v>
      </c>
      <c r="G136" s="178">
        <v>457</v>
      </c>
      <c r="H136" s="178">
        <v>18</v>
      </c>
      <c r="I136" s="178">
        <v>1</v>
      </c>
      <c r="J136" s="215">
        <v>0.202</v>
      </c>
    </row>
    <row r="137" spans="1:10">
      <c r="A137" s="176">
        <v>130</v>
      </c>
      <c r="B137" s="178" t="s">
        <v>553</v>
      </c>
      <c r="C137" s="178" t="s">
        <v>35</v>
      </c>
      <c r="D137" s="178" t="s">
        <v>32</v>
      </c>
      <c r="E137" s="178" t="s">
        <v>111</v>
      </c>
      <c r="F137" s="178">
        <v>442</v>
      </c>
      <c r="G137" s="178">
        <v>457</v>
      </c>
      <c r="H137" s="178">
        <v>18</v>
      </c>
      <c r="I137" s="178">
        <v>1</v>
      </c>
      <c r="J137" s="215">
        <v>0.202</v>
      </c>
    </row>
    <row r="138" spans="1:10">
      <c r="A138" s="176">
        <v>131</v>
      </c>
      <c r="B138" s="178" t="s">
        <v>554</v>
      </c>
      <c r="C138" s="178" t="s">
        <v>110</v>
      </c>
      <c r="D138" s="178" t="s">
        <v>32</v>
      </c>
      <c r="E138" s="178" t="s">
        <v>115</v>
      </c>
      <c r="F138" s="178">
        <v>2305</v>
      </c>
      <c r="G138" s="178">
        <v>620</v>
      </c>
      <c r="H138" s="178">
        <v>18</v>
      </c>
      <c r="I138" s="178">
        <v>1</v>
      </c>
      <c r="J138" s="215">
        <v>1.4291</v>
      </c>
    </row>
    <row r="139" spans="1:10">
      <c r="A139" s="176">
        <v>132</v>
      </c>
      <c r="B139" s="178" t="s">
        <v>554</v>
      </c>
      <c r="C139" s="178" t="s">
        <v>131</v>
      </c>
      <c r="D139" s="178" t="s">
        <v>32</v>
      </c>
      <c r="E139" s="178" t="s">
        <v>111</v>
      </c>
      <c r="F139" s="178">
        <v>108</v>
      </c>
      <c r="G139" s="178">
        <v>697</v>
      </c>
      <c r="H139" s="178">
        <v>18</v>
      </c>
      <c r="I139" s="178">
        <v>1</v>
      </c>
      <c r="J139" s="215">
        <v>0.0753</v>
      </c>
    </row>
    <row r="140" spans="1:10">
      <c r="A140" s="176">
        <v>133</v>
      </c>
      <c r="B140" s="178" t="s">
        <v>554</v>
      </c>
      <c r="C140" s="178" t="s">
        <v>199</v>
      </c>
      <c r="D140" s="178" t="s">
        <v>32</v>
      </c>
      <c r="E140" s="178" t="s">
        <v>115</v>
      </c>
      <c r="F140" s="178">
        <v>661</v>
      </c>
      <c r="G140" s="178">
        <v>110</v>
      </c>
      <c r="H140" s="178">
        <v>18</v>
      </c>
      <c r="I140" s="178">
        <v>1</v>
      </c>
      <c r="J140" s="215">
        <v>0.0727</v>
      </c>
    </row>
    <row r="141" spans="1:10">
      <c r="A141" s="176">
        <v>134</v>
      </c>
      <c r="B141" s="178" t="s">
        <v>554</v>
      </c>
      <c r="C141" s="178" t="s">
        <v>199</v>
      </c>
      <c r="D141" s="178" t="s">
        <v>32</v>
      </c>
      <c r="E141" s="178" t="s">
        <v>115</v>
      </c>
      <c r="F141" s="178">
        <v>661</v>
      </c>
      <c r="G141" s="178">
        <v>110</v>
      </c>
      <c r="H141" s="178">
        <v>18</v>
      </c>
      <c r="I141" s="178">
        <v>1</v>
      </c>
      <c r="J141" s="215">
        <v>0.0727</v>
      </c>
    </row>
    <row r="142" spans="1:10">
      <c r="A142" s="176">
        <v>135</v>
      </c>
      <c r="B142" s="178" t="s">
        <v>554</v>
      </c>
      <c r="C142" s="178" t="s">
        <v>117</v>
      </c>
      <c r="D142" s="178" t="s">
        <v>32</v>
      </c>
      <c r="E142" s="178" t="s">
        <v>115</v>
      </c>
      <c r="F142" s="178">
        <v>661</v>
      </c>
      <c r="G142" s="178">
        <v>620</v>
      </c>
      <c r="H142" s="178">
        <v>18</v>
      </c>
      <c r="I142" s="178">
        <v>1</v>
      </c>
      <c r="J142" s="215">
        <v>0.4098</v>
      </c>
    </row>
    <row r="143" spans="1:10">
      <c r="A143" s="176">
        <v>136</v>
      </c>
      <c r="B143" s="178" t="s">
        <v>554</v>
      </c>
      <c r="C143" s="178" t="s">
        <v>129</v>
      </c>
      <c r="D143" s="178" t="s">
        <v>32</v>
      </c>
      <c r="E143" s="178" t="s">
        <v>115</v>
      </c>
      <c r="F143" s="178">
        <v>661</v>
      </c>
      <c r="G143" s="178">
        <v>586</v>
      </c>
      <c r="H143" s="178">
        <v>18</v>
      </c>
      <c r="I143" s="178">
        <v>1</v>
      </c>
      <c r="J143" s="215">
        <v>0.3873</v>
      </c>
    </row>
    <row r="144" spans="1:10">
      <c r="A144" s="176">
        <v>137</v>
      </c>
      <c r="B144" s="178" t="s">
        <v>554</v>
      </c>
      <c r="C144" s="178" t="s">
        <v>114</v>
      </c>
      <c r="D144" s="178" t="s">
        <v>32</v>
      </c>
      <c r="E144" s="178" t="s">
        <v>115</v>
      </c>
      <c r="F144" s="178">
        <v>664</v>
      </c>
      <c r="G144" s="178">
        <v>671</v>
      </c>
      <c r="H144" s="178">
        <v>9</v>
      </c>
      <c r="I144" s="178">
        <v>1</v>
      </c>
      <c r="J144" s="215">
        <v>0.4455</v>
      </c>
    </row>
    <row r="145" spans="1:10">
      <c r="A145" s="176">
        <v>138</v>
      </c>
      <c r="B145" s="178" t="s">
        <v>554</v>
      </c>
      <c r="C145" s="178" t="s">
        <v>129</v>
      </c>
      <c r="D145" s="178" t="s">
        <v>32</v>
      </c>
      <c r="E145" s="178" t="s">
        <v>115</v>
      </c>
      <c r="F145" s="178">
        <v>661</v>
      </c>
      <c r="G145" s="178">
        <v>620</v>
      </c>
      <c r="H145" s="178">
        <v>18</v>
      </c>
      <c r="I145" s="178">
        <v>1</v>
      </c>
      <c r="J145" s="215">
        <v>0.4098</v>
      </c>
    </row>
    <row r="146" spans="1:10">
      <c r="A146" s="176">
        <v>139</v>
      </c>
      <c r="B146" s="178" t="s">
        <v>554</v>
      </c>
      <c r="C146" s="178" t="s">
        <v>244</v>
      </c>
      <c r="D146" s="178" t="s">
        <v>32</v>
      </c>
      <c r="E146" s="178" t="s">
        <v>111</v>
      </c>
      <c r="F146" s="178">
        <v>450</v>
      </c>
      <c r="G146" s="178">
        <v>50</v>
      </c>
      <c r="H146" s="178">
        <v>18</v>
      </c>
      <c r="I146" s="178">
        <v>1</v>
      </c>
      <c r="J146" s="215">
        <v>0.0225</v>
      </c>
    </row>
    <row r="147" spans="1:10">
      <c r="A147" s="176">
        <v>140</v>
      </c>
      <c r="B147" s="178" t="s">
        <v>554</v>
      </c>
      <c r="C147" s="178" t="s">
        <v>223</v>
      </c>
      <c r="D147" s="178" t="s">
        <v>32</v>
      </c>
      <c r="E147" s="178" t="s">
        <v>115</v>
      </c>
      <c r="F147" s="178">
        <v>450</v>
      </c>
      <c r="G147" s="178">
        <v>620</v>
      </c>
      <c r="H147" s="178">
        <v>18</v>
      </c>
      <c r="I147" s="178">
        <v>1</v>
      </c>
      <c r="J147" s="215">
        <v>0.279</v>
      </c>
    </row>
    <row r="148" spans="1:10">
      <c r="A148" s="176">
        <v>141</v>
      </c>
      <c r="B148" s="178" t="s">
        <v>554</v>
      </c>
      <c r="C148" s="178" t="s">
        <v>244</v>
      </c>
      <c r="D148" s="178" t="s">
        <v>32</v>
      </c>
      <c r="E148" s="178" t="s">
        <v>111</v>
      </c>
      <c r="F148" s="178">
        <v>450</v>
      </c>
      <c r="G148" s="178">
        <v>50</v>
      </c>
      <c r="H148" s="178">
        <v>18</v>
      </c>
      <c r="I148" s="178">
        <v>1</v>
      </c>
      <c r="J148" s="215">
        <v>0.0225</v>
      </c>
    </row>
    <row r="149" spans="1:10">
      <c r="A149" s="176">
        <v>142</v>
      </c>
      <c r="B149" s="178" t="s">
        <v>554</v>
      </c>
      <c r="C149" s="178" t="s">
        <v>110</v>
      </c>
      <c r="D149" s="178" t="s">
        <v>32</v>
      </c>
      <c r="E149" s="178" t="s">
        <v>115</v>
      </c>
      <c r="F149" s="178">
        <v>450</v>
      </c>
      <c r="G149" s="178">
        <v>620</v>
      </c>
      <c r="H149" s="178">
        <v>18</v>
      </c>
      <c r="I149" s="178">
        <v>1</v>
      </c>
      <c r="J149" s="215">
        <v>0.279</v>
      </c>
    </row>
    <row r="150" spans="1:10">
      <c r="A150" s="176">
        <v>143</v>
      </c>
      <c r="B150" s="178" t="s">
        <v>554</v>
      </c>
      <c r="C150" s="178" t="s">
        <v>129</v>
      </c>
      <c r="D150" s="178" t="s">
        <v>32</v>
      </c>
      <c r="E150" s="178" t="s">
        <v>115</v>
      </c>
      <c r="F150" s="178">
        <v>661</v>
      </c>
      <c r="G150" s="178">
        <v>620</v>
      </c>
      <c r="H150" s="178">
        <v>18</v>
      </c>
      <c r="I150" s="178">
        <v>1</v>
      </c>
      <c r="J150" s="215">
        <v>0.4098</v>
      </c>
    </row>
    <row r="151" spans="1:10">
      <c r="A151" s="176">
        <v>144</v>
      </c>
      <c r="B151" s="178" t="s">
        <v>554</v>
      </c>
      <c r="C151" s="178" t="s">
        <v>114</v>
      </c>
      <c r="D151" s="178" t="s">
        <v>32</v>
      </c>
      <c r="E151" s="178" t="s">
        <v>115</v>
      </c>
      <c r="F151" s="178">
        <v>321</v>
      </c>
      <c r="G151" s="178">
        <v>671</v>
      </c>
      <c r="H151" s="178">
        <v>9</v>
      </c>
      <c r="I151" s="178">
        <v>1</v>
      </c>
      <c r="J151" s="215">
        <v>0.2154</v>
      </c>
    </row>
    <row r="152" spans="1:10">
      <c r="A152" s="176">
        <v>145</v>
      </c>
      <c r="B152" s="178" t="s">
        <v>554</v>
      </c>
      <c r="C152" s="178" t="s">
        <v>129</v>
      </c>
      <c r="D152" s="178" t="s">
        <v>32</v>
      </c>
      <c r="E152" s="178" t="s">
        <v>115</v>
      </c>
      <c r="F152" s="178">
        <v>661</v>
      </c>
      <c r="G152" s="178">
        <v>615</v>
      </c>
      <c r="H152" s="178">
        <v>18</v>
      </c>
      <c r="I152" s="178">
        <v>1</v>
      </c>
      <c r="J152" s="215">
        <v>0.4065</v>
      </c>
    </row>
    <row r="153" spans="1:10">
      <c r="A153" s="176">
        <v>146</v>
      </c>
      <c r="B153" s="178" t="s">
        <v>554</v>
      </c>
      <c r="C153" s="178" t="s">
        <v>129</v>
      </c>
      <c r="D153" s="178" t="s">
        <v>32</v>
      </c>
      <c r="E153" s="178" t="s">
        <v>115</v>
      </c>
      <c r="F153" s="178">
        <v>661</v>
      </c>
      <c r="G153" s="178">
        <v>586</v>
      </c>
      <c r="H153" s="178">
        <v>18</v>
      </c>
      <c r="I153" s="178">
        <v>1</v>
      </c>
      <c r="J153" s="215">
        <v>0.3873</v>
      </c>
    </row>
    <row r="154" spans="1:10">
      <c r="A154" s="176">
        <v>147</v>
      </c>
      <c r="B154" s="178" t="s">
        <v>554</v>
      </c>
      <c r="C154" s="178" t="s">
        <v>114</v>
      </c>
      <c r="D154" s="178" t="s">
        <v>32</v>
      </c>
      <c r="E154" s="178" t="s">
        <v>115</v>
      </c>
      <c r="F154" s="178">
        <v>650</v>
      </c>
      <c r="G154" s="178">
        <v>671</v>
      </c>
      <c r="H154" s="178">
        <v>9</v>
      </c>
      <c r="I154" s="178">
        <v>1</v>
      </c>
      <c r="J154" s="215">
        <v>0.4362</v>
      </c>
    </row>
    <row r="155" spans="1:10">
      <c r="A155" s="176">
        <v>148</v>
      </c>
      <c r="B155" s="178" t="s">
        <v>554</v>
      </c>
      <c r="C155" s="178" t="s">
        <v>142</v>
      </c>
      <c r="D155" s="178" t="s">
        <v>32</v>
      </c>
      <c r="E155" s="178" t="s">
        <v>115</v>
      </c>
      <c r="F155" s="178">
        <v>661</v>
      </c>
      <c r="G155" s="178">
        <v>620</v>
      </c>
      <c r="H155" s="178">
        <v>18</v>
      </c>
      <c r="I155" s="178">
        <v>1</v>
      </c>
      <c r="J155" s="215">
        <v>0.4098</v>
      </c>
    </row>
    <row r="156" spans="1:10">
      <c r="A156" s="176">
        <v>149</v>
      </c>
      <c r="B156" s="178" t="s">
        <v>554</v>
      </c>
      <c r="C156" s="178" t="s">
        <v>145</v>
      </c>
      <c r="D156" s="178" t="s">
        <v>32</v>
      </c>
      <c r="E156" s="178" t="s">
        <v>115</v>
      </c>
      <c r="F156" s="178">
        <v>661</v>
      </c>
      <c r="G156" s="178">
        <v>50</v>
      </c>
      <c r="H156" s="178">
        <v>18</v>
      </c>
      <c r="I156" s="178">
        <v>1</v>
      </c>
      <c r="J156" s="215">
        <v>0.0331</v>
      </c>
    </row>
    <row r="157" spans="1:10">
      <c r="A157" s="176">
        <v>150</v>
      </c>
      <c r="B157" s="178" t="s">
        <v>554</v>
      </c>
      <c r="C157" s="178" t="s">
        <v>146</v>
      </c>
      <c r="D157" s="178" t="s">
        <v>32</v>
      </c>
      <c r="E157" s="178" t="s">
        <v>115</v>
      </c>
      <c r="F157" s="178">
        <v>661</v>
      </c>
      <c r="G157" s="178">
        <v>80</v>
      </c>
      <c r="H157" s="178">
        <v>18</v>
      </c>
      <c r="I157" s="178">
        <v>1</v>
      </c>
      <c r="J157" s="215">
        <v>0.0529</v>
      </c>
    </row>
    <row r="158" spans="1:10">
      <c r="A158" s="176">
        <v>151</v>
      </c>
      <c r="B158" s="178" t="s">
        <v>554</v>
      </c>
      <c r="C158" s="178" t="s">
        <v>223</v>
      </c>
      <c r="D158" s="178" t="s">
        <v>32</v>
      </c>
      <c r="E158" s="178" t="s">
        <v>115</v>
      </c>
      <c r="F158" s="178">
        <v>2305</v>
      </c>
      <c r="G158" s="178">
        <v>620</v>
      </c>
      <c r="H158" s="178">
        <v>18</v>
      </c>
      <c r="I158" s="178">
        <v>1</v>
      </c>
      <c r="J158" s="215">
        <v>1.4291</v>
      </c>
    </row>
    <row r="159" spans="1:10">
      <c r="A159" s="176">
        <v>152</v>
      </c>
      <c r="B159" s="178" t="s">
        <v>554</v>
      </c>
      <c r="C159" s="178" t="s">
        <v>31</v>
      </c>
      <c r="D159" s="178" t="s">
        <v>32</v>
      </c>
      <c r="E159" s="178" t="s">
        <v>111</v>
      </c>
      <c r="F159" s="178">
        <v>1042</v>
      </c>
      <c r="G159" s="178">
        <v>345.5</v>
      </c>
      <c r="H159" s="178">
        <v>18</v>
      </c>
      <c r="I159" s="178">
        <v>1</v>
      </c>
      <c r="J159" s="215">
        <v>0.36</v>
      </c>
    </row>
    <row r="160" spans="1:10">
      <c r="A160" s="176">
        <v>153</v>
      </c>
      <c r="B160" s="178" t="s">
        <v>554</v>
      </c>
      <c r="C160" s="178" t="s">
        <v>35</v>
      </c>
      <c r="D160" s="178" t="s">
        <v>32</v>
      </c>
      <c r="E160" s="178" t="s">
        <v>111</v>
      </c>
      <c r="F160" s="178">
        <v>1042</v>
      </c>
      <c r="G160" s="178">
        <v>345.5</v>
      </c>
      <c r="H160" s="178">
        <v>18</v>
      </c>
      <c r="I160" s="178">
        <v>1</v>
      </c>
      <c r="J160" s="215">
        <v>0.36</v>
      </c>
    </row>
    <row r="161" spans="1:10">
      <c r="A161" s="176">
        <v>154</v>
      </c>
      <c r="B161" s="178" t="s">
        <v>554</v>
      </c>
      <c r="C161" s="178" t="s">
        <v>31</v>
      </c>
      <c r="D161" s="178" t="s">
        <v>32</v>
      </c>
      <c r="E161" s="178" t="s">
        <v>111</v>
      </c>
      <c r="F161" s="178">
        <v>687</v>
      </c>
      <c r="G161" s="178">
        <v>345.5</v>
      </c>
      <c r="H161" s="178">
        <v>18</v>
      </c>
      <c r="I161" s="178">
        <v>1</v>
      </c>
      <c r="J161" s="215">
        <v>0.2374</v>
      </c>
    </row>
    <row r="162" spans="1:10">
      <c r="A162" s="176">
        <v>155</v>
      </c>
      <c r="B162" s="178" t="s">
        <v>554</v>
      </c>
      <c r="C162" s="178" t="s">
        <v>35</v>
      </c>
      <c r="D162" s="178" t="s">
        <v>32</v>
      </c>
      <c r="E162" s="178" t="s">
        <v>111</v>
      </c>
      <c r="F162" s="178">
        <v>687</v>
      </c>
      <c r="G162" s="178">
        <v>345.5</v>
      </c>
      <c r="H162" s="178">
        <v>18</v>
      </c>
      <c r="I162" s="178">
        <v>1</v>
      </c>
      <c r="J162" s="215">
        <v>0.2374</v>
      </c>
    </row>
    <row r="163" spans="1:10">
      <c r="A163" s="176">
        <v>156</v>
      </c>
      <c r="B163" s="178" t="s">
        <v>555</v>
      </c>
      <c r="C163" s="178" t="s">
        <v>131</v>
      </c>
      <c r="D163" s="178" t="s">
        <v>32</v>
      </c>
      <c r="E163" s="178" t="s">
        <v>111</v>
      </c>
      <c r="F163" s="178">
        <v>860</v>
      </c>
      <c r="G163" s="178">
        <v>50</v>
      </c>
      <c r="H163" s="178">
        <v>18</v>
      </c>
      <c r="I163" s="178">
        <v>1</v>
      </c>
      <c r="J163" s="215">
        <v>0.043</v>
      </c>
    </row>
    <row r="164" spans="1:10">
      <c r="A164" s="176">
        <v>157</v>
      </c>
      <c r="B164" s="178" t="s">
        <v>555</v>
      </c>
      <c r="C164" s="178" t="s">
        <v>110</v>
      </c>
      <c r="D164" s="178" t="s">
        <v>32</v>
      </c>
      <c r="E164" s="178" t="s">
        <v>115</v>
      </c>
      <c r="F164" s="178">
        <v>867</v>
      </c>
      <c r="G164" s="178">
        <v>580</v>
      </c>
      <c r="H164" s="178">
        <v>18</v>
      </c>
      <c r="I164" s="178">
        <v>1</v>
      </c>
      <c r="J164" s="215">
        <v>0.5029</v>
      </c>
    </row>
    <row r="165" spans="1:10">
      <c r="A165" s="176">
        <v>158</v>
      </c>
      <c r="B165" s="178" t="s">
        <v>555</v>
      </c>
      <c r="C165" s="178" t="s">
        <v>117</v>
      </c>
      <c r="D165" s="178" t="s">
        <v>32</v>
      </c>
      <c r="E165" s="178" t="s">
        <v>115</v>
      </c>
      <c r="F165" s="178">
        <v>337</v>
      </c>
      <c r="G165" s="178">
        <v>580</v>
      </c>
      <c r="H165" s="178">
        <v>18</v>
      </c>
      <c r="I165" s="178">
        <v>1</v>
      </c>
      <c r="J165" s="215">
        <v>0.1955</v>
      </c>
    </row>
    <row r="166" spans="1:10">
      <c r="A166" s="176">
        <v>159</v>
      </c>
      <c r="B166" s="178" t="s">
        <v>555</v>
      </c>
      <c r="C166" s="178" t="s">
        <v>110</v>
      </c>
      <c r="D166" s="178" t="s">
        <v>32</v>
      </c>
      <c r="E166" s="178" t="s">
        <v>115</v>
      </c>
      <c r="F166" s="178">
        <v>739</v>
      </c>
      <c r="G166" s="178">
        <v>580</v>
      </c>
      <c r="H166" s="178">
        <v>18</v>
      </c>
      <c r="I166" s="178">
        <v>1</v>
      </c>
      <c r="J166" s="215">
        <v>0.4286</v>
      </c>
    </row>
    <row r="167" spans="1:10">
      <c r="A167" s="176">
        <v>160</v>
      </c>
      <c r="B167" s="178" t="s">
        <v>555</v>
      </c>
      <c r="C167" s="178" t="s">
        <v>129</v>
      </c>
      <c r="D167" s="178" t="s">
        <v>32</v>
      </c>
      <c r="E167" s="178" t="s">
        <v>115</v>
      </c>
      <c r="F167" s="178">
        <v>301</v>
      </c>
      <c r="G167" s="178">
        <v>546</v>
      </c>
      <c r="H167" s="178">
        <v>18</v>
      </c>
      <c r="I167" s="178">
        <v>1</v>
      </c>
      <c r="J167" s="215">
        <v>0.1643</v>
      </c>
    </row>
    <row r="168" spans="1:10">
      <c r="A168" s="176">
        <v>161</v>
      </c>
      <c r="B168" s="178" t="s">
        <v>555</v>
      </c>
      <c r="C168" s="178" t="s">
        <v>261</v>
      </c>
      <c r="D168" s="178" t="s">
        <v>32</v>
      </c>
      <c r="E168" s="178" t="s">
        <v>115</v>
      </c>
      <c r="F168" s="178">
        <v>301</v>
      </c>
      <c r="G168" s="178">
        <v>60</v>
      </c>
      <c r="H168" s="178">
        <v>18</v>
      </c>
      <c r="I168" s="178">
        <v>1</v>
      </c>
      <c r="J168" s="215">
        <v>0.0181</v>
      </c>
    </row>
    <row r="169" spans="1:10">
      <c r="A169" s="176">
        <v>162</v>
      </c>
      <c r="B169" s="178" t="s">
        <v>555</v>
      </c>
      <c r="C169" s="178" t="s">
        <v>261</v>
      </c>
      <c r="D169" s="178" t="s">
        <v>32</v>
      </c>
      <c r="E169" s="178" t="s">
        <v>115</v>
      </c>
      <c r="F169" s="178">
        <v>301</v>
      </c>
      <c r="G169" s="178">
        <v>60</v>
      </c>
      <c r="H169" s="178">
        <v>18</v>
      </c>
      <c r="I169" s="178">
        <v>1</v>
      </c>
      <c r="J169" s="215">
        <v>0.0181</v>
      </c>
    </row>
    <row r="170" spans="1:10">
      <c r="A170" s="176">
        <v>163</v>
      </c>
      <c r="B170" s="178" t="s">
        <v>555</v>
      </c>
      <c r="C170" s="178" t="s">
        <v>114</v>
      </c>
      <c r="D170" s="178" t="s">
        <v>32</v>
      </c>
      <c r="E170" s="178" t="s">
        <v>115</v>
      </c>
      <c r="F170" s="178">
        <v>749</v>
      </c>
      <c r="G170" s="178">
        <v>311</v>
      </c>
      <c r="H170" s="178">
        <v>9</v>
      </c>
      <c r="I170" s="178">
        <v>1</v>
      </c>
      <c r="J170" s="215">
        <v>0.2329</v>
      </c>
    </row>
    <row r="171" spans="1:10">
      <c r="A171" s="176">
        <v>164</v>
      </c>
      <c r="B171" s="178" t="s">
        <v>555</v>
      </c>
      <c r="C171" s="178" t="s">
        <v>223</v>
      </c>
      <c r="D171" s="178" t="s">
        <v>32</v>
      </c>
      <c r="E171" s="178" t="s">
        <v>115</v>
      </c>
      <c r="F171" s="178">
        <v>739</v>
      </c>
      <c r="G171" s="178">
        <v>580</v>
      </c>
      <c r="H171" s="178">
        <v>18</v>
      </c>
      <c r="I171" s="178">
        <v>1</v>
      </c>
      <c r="J171" s="215">
        <v>0.4286</v>
      </c>
    </row>
    <row r="172" spans="1:10">
      <c r="A172" s="176">
        <v>165</v>
      </c>
      <c r="B172" s="178" t="s">
        <v>555</v>
      </c>
      <c r="C172" s="178" t="s">
        <v>131</v>
      </c>
      <c r="D172" s="178" t="s">
        <v>32</v>
      </c>
      <c r="E172" s="178" t="s">
        <v>111</v>
      </c>
      <c r="F172" s="178">
        <v>860</v>
      </c>
      <c r="G172" s="178">
        <v>50</v>
      </c>
      <c r="H172" s="178">
        <v>18</v>
      </c>
      <c r="I172" s="178">
        <v>1</v>
      </c>
      <c r="J172" s="215">
        <v>0.043</v>
      </c>
    </row>
    <row r="173" spans="1:10">
      <c r="A173" s="176">
        <v>166</v>
      </c>
      <c r="B173" s="178" t="s">
        <v>555</v>
      </c>
      <c r="C173" s="178" t="s">
        <v>142</v>
      </c>
      <c r="D173" s="178" t="s">
        <v>32</v>
      </c>
      <c r="E173" s="178" t="s">
        <v>115</v>
      </c>
      <c r="F173" s="178">
        <v>1010</v>
      </c>
      <c r="G173" s="178">
        <v>580</v>
      </c>
      <c r="H173" s="178">
        <v>18</v>
      </c>
      <c r="I173" s="178">
        <v>1</v>
      </c>
      <c r="J173" s="215">
        <v>0.5858</v>
      </c>
    </row>
    <row r="174" spans="1:10">
      <c r="A174" s="176">
        <v>167</v>
      </c>
      <c r="B174" s="178" t="s">
        <v>555</v>
      </c>
      <c r="C174" s="178" t="s">
        <v>265</v>
      </c>
      <c r="D174" s="178" t="s">
        <v>32</v>
      </c>
      <c r="E174" s="178" t="s">
        <v>111</v>
      </c>
      <c r="F174" s="178">
        <v>745</v>
      </c>
      <c r="G174" s="178">
        <v>334</v>
      </c>
      <c r="H174" s="178">
        <v>18</v>
      </c>
      <c r="I174" s="178">
        <v>1</v>
      </c>
      <c r="J174" s="215">
        <v>0.2488</v>
      </c>
    </row>
    <row r="175" spans="1:10">
      <c r="A175" s="176">
        <v>168</v>
      </c>
      <c r="B175" s="178" t="s">
        <v>556</v>
      </c>
      <c r="C175" s="178" t="s">
        <v>110</v>
      </c>
      <c r="D175" s="178" t="s">
        <v>32</v>
      </c>
      <c r="E175" s="178" t="s">
        <v>111</v>
      </c>
      <c r="F175" s="178">
        <v>2325</v>
      </c>
      <c r="G175" s="178">
        <v>600</v>
      </c>
      <c r="H175" s="178">
        <v>18</v>
      </c>
      <c r="I175" s="178">
        <v>1</v>
      </c>
      <c r="J175" s="215">
        <v>1.395</v>
      </c>
    </row>
    <row r="176" spans="1:10">
      <c r="A176" s="176">
        <v>169</v>
      </c>
      <c r="B176" s="178" t="s">
        <v>556</v>
      </c>
      <c r="C176" s="178" t="s">
        <v>131</v>
      </c>
      <c r="D176" s="178" t="s">
        <v>32</v>
      </c>
      <c r="E176" s="178" t="s">
        <v>111</v>
      </c>
      <c r="F176" s="178">
        <v>58</v>
      </c>
      <c r="G176" s="178">
        <v>804</v>
      </c>
      <c r="H176" s="178">
        <v>18</v>
      </c>
      <c r="I176" s="178">
        <v>1</v>
      </c>
      <c r="J176" s="215">
        <v>0.0466</v>
      </c>
    </row>
    <row r="177" spans="1:10">
      <c r="A177" s="176">
        <v>170</v>
      </c>
      <c r="B177" s="178" t="s">
        <v>556</v>
      </c>
      <c r="C177" s="178" t="s">
        <v>199</v>
      </c>
      <c r="D177" s="178" t="s">
        <v>32</v>
      </c>
      <c r="E177" s="178" t="s">
        <v>115</v>
      </c>
      <c r="F177" s="178">
        <v>786</v>
      </c>
      <c r="G177" s="178">
        <v>60</v>
      </c>
      <c r="H177" s="178">
        <v>18</v>
      </c>
      <c r="I177" s="178">
        <v>1</v>
      </c>
      <c r="J177" s="215">
        <v>0.0472</v>
      </c>
    </row>
    <row r="178" spans="1:10">
      <c r="A178" s="176">
        <v>171</v>
      </c>
      <c r="B178" s="178" t="s">
        <v>556</v>
      </c>
      <c r="C178" s="178" t="s">
        <v>199</v>
      </c>
      <c r="D178" s="178" t="s">
        <v>32</v>
      </c>
      <c r="E178" s="178" t="s">
        <v>115</v>
      </c>
      <c r="F178" s="178">
        <v>304</v>
      </c>
      <c r="G178" s="178">
        <v>60</v>
      </c>
      <c r="H178" s="178">
        <v>18</v>
      </c>
      <c r="I178" s="178">
        <v>1</v>
      </c>
      <c r="J178" s="215">
        <v>0.0182</v>
      </c>
    </row>
    <row r="179" spans="1:10">
      <c r="A179" s="176">
        <v>172</v>
      </c>
      <c r="B179" s="178" t="s">
        <v>556</v>
      </c>
      <c r="C179" s="178" t="s">
        <v>215</v>
      </c>
      <c r="D179" s="178" t="s">
        <v>32</v>
      </c>
      <c r="E179" s="178" t="s">
        <v>115</v>
      </c>
      <c r="F179" s="178">
        <v>786</v>
      </c>
      <c r="G179" s="178">
        <v>570</v>
      </c>
      <c r="H179" s="178">
        <v>18</v>
      </c>
      <c r="I179" s="178">
        <v>1</v>
      </c>
      <c r="J179" s="215">
        <v>0.448</v>
      </c>
    </row>
    <row r="180" spans="1:10">
      <c r="A180" s="176">
        <v>173</v>
      </c>
      <c r="B180" s="178" t="s">
        <v>556</v>
      </c>
      <c r="C180" s="178" t="s">
        <v>217</v>
      </c>
      <c r="D180" s="178" t="s">
        <v>32</v>
      </c>
      <c r="E180" s="178" t="s">
        <v>115</v>
      </c>
      <c r="F180" s="178">
        <v>786</v>
      </c>
      <c r="G180" s="178">
        <v>536</v>
      </c>
      <c r="H180" s="178">
        <v>18</v>
      </c>
      <c r="I180" s="178">
        <v>1</v>
      </c>
      <c r="J180" s="215">
        <v>0.4213</v>
      </c>
    </row>
    <row r="181" spans="1:10">
      <c r="A181" s="176">
        <v>174</v>
      </c>
      <c r="B181" s="178" t="s">
        <v>556</v>
      </c>
      <c r="C181" s="178" t="s">
        <v>217</v>
      </c>
      <c r="D181" s="178" t="s">
        <v>32</v>
      </c>
      <c r="E181" s="178" t="s">
        <v>115</v>
      </c>
      <c r="F181" s="178">
        <v>786</v>
      </c>
      <c r="G181" s="178">
        <v>536</v>
      </c>
      <c r="H181" s="178">
        <v>18</v>
      </c>
      <c r="I181" s="178">
        <v>1</v>
      </c>
      <c r="J181" s="215">
        <v>0.4213</v>
      </c>
    </row>
    <row r="182" spans="1:10">
      <c r="A182" s="176">
        <v>175</v>
      </c>
      <c r="B182" s="178" t="s">
        <v>556</v>
      </c>
      <c r="C182" s="178" t="s">
        <v>114</v>
      </c>
      <c r="D182" s="178" t="s">
        <v>32</v>
      </c>
      <c r="E182" s="178" t="s">
        <v>115</v>
      </c>
      <c r="F182" s="178">
        <v>1648</v>
      </c>
      <c r="G182" s="178">
        <v>314</v>
      </c>
      <c r="H182" s="178">
        <v>9</v>
      </c>
      <c r="I182" s="178">
        <v>1</v>
      </c>
      <c r="J182" s="215">
        <v>0.5175</v>
      </c>
    </row>
    <row r="183" spans="1:10">
      <c r="A183" s="176">
        <v>176</v>
      </c>
      <c r="B183" s="178" t="s">
        <v>556</v>
      </c>
      <c r="C183" s="178" t="s">
        <v>217</v>
      </c>
      <c r="D183" s="178" t="s">
        <v>32</v>
      </c>
      <c r="E183" s="178" t="s">
        <v>115</v>
      </c>
      <c r="F183" s="178">
        <v>786</v>
      </c>
      <c r="G183" s="178">
        <v>570</v>
      </c>
      <c r="H183" s="178">
        <v>18</v>
      </c>
      <c r="I183" s="178">
        <v>1</v>
      </c>
      <c r="J183" s="215">
        <v>0.448</v>
      </c>
    </row>
    <row r="184" spans="1:10">
      <c r="A184" s="176">
        <v>177</v>
      </c>
      <c r="B184" s="178" t="s">
        <v>556</v>
      </c>
      <c r="C184" s="178" t="s">
        <v>114</v>
      </c>
      <c r="D184" s="178" t="s">
        <v>32</v>
      </c>
      <c r="E184" s="178" t="s">
        <v>115</v>
      </c>
      <c r="F184" s="178">
        <v>583</v>
      </c>
      <c r="G184" s="178">
        <v>314</v>
      </c>
      <c r="H184" s="178">
        <v>9</v>
      </c>
      <c r="I184" s="178">
        <v>1</v>
      </c>
      <c r="J184" s="215">
        <v>0.1831</v>
      </c>
    </row>
    <row r="185" spans="1:10">
      <c r="A185" s="176">
        <v>178</v>
      </c>
      <c r="B185" s="178" t="s">
        <v>556</v>
      </c>
      <c r="C185" s="178" t="s">
        <v>220</v>
      </c>
      <c r="D185" s="178" t="s">
        <v>32</v>
      </c>
      <c r="E185" s="178" t="s">
        <v>115</v>
      </c>
      <c r="F185" s="178">
        <v>786</v>
      </c>
      <c r="G185" s="178">
        <v>570</v>
      </c>
      <c r="H185" s="178">
        <v>18</v>
      </c>
      <c r="I185" s="178">
        <v>1</v>
      </c>
      <c r="J185" s="215">
        <v>0.448</v>
      </c>
    </row>
    <row r="186" spans="1:10">
      <c r="A186" s="176">
        <v>179</v>
      </c>
      <c r="B186" s="178" t="s">
        <v>556</v>
      </c>
      <c r="C186" s="178" t="s">
        <v>223</v>
      </c>
      <c r="D186" s="178" t="s">
        <v>32</v>
      </c>
      <c r="E186" s="178" t="s">
        <v>115</v>
      </c>
      <c r="F186" s="178">
        <v>2325</v>
      </c>
      <c r="G186" s="178">
        <v>352</v>
      </c>
      <c r="H186" s="178">
        <v>18</v>
      </c>
      <c r="I186" s="178">
        <v>1</v>
      </c>
      <c r="J186" s="215">
        <v>0.8184</v>
      </c>
    </row>
    <row r="187" spans="1:10">
      <c r="A187" s="176">
        <v>180</v>
      </c>
      <c r="B187" s="178" t="s">
        <v>556</v>
      </c>
      <c r="C187" s="178" t="s">
        <v>223</v>
      </c>
      <c r="D187" s="178" t="s">
        <v>32</v>
      </c>
      <c r="E187" s="178" t="s">
        <v>111</v>
      </c>
      <c r="F187" s="178">
        <v>2325</v>
      </c>
      <c r="G187" s="178">
        <v>50</v>
      </c>
      <c r="H187" s="178">
        <v>18</v>
      </c>
      <c r="I187" s="178">
        <v>1</v>
      </c>
      <c r="J187" s="215">
        <v>0.1162</v>
      </c>
    </row>
    <row r="188" spans="1:10">
      <c r="A188" s="176">
        <v>181</v>
      </c>
      <c r="B188" s="178" t="s">
        <v>556</v>
      </c>
      <c r="C188" s="178" t="s">
        <v>110</v>
      </c>
      <c r="D188" s="178" t="s">
        <v>32</v>
      </c>
      <c r="E188" s="178" t="s">
        <v>111</v>
      </c>
      <c r="F188" s="178">
        <v>150</v>
      </c>
      <c r="G188" s="178">
        <v>600</v>
      </c>
      <c r="H188" s="178">
        <v>18</v>
      </c>
      <c r="I188" s="178">
        <v>1</v>
      </c>
      <c r="J188" s="215">
        <v>0.09</v>
      </c>
    </row>
    <row r="189" spans="1:10">
      <c r="A189" s="176">
        <v>182</v>
      </c>
      <c r="B189" s="178" t="s">
        <v>556</v>
      </c>
      <c r="C189" s="178" t="s">
        <v>145</v>
      </c>
      <c r="D189" s="178" t="s">
        <v>32</v>
      </c>
      <c r="E189" s="178" t="s">
        <v>111</v>
      </c>
      <c r="F189" s="178">
        <v>822</v>
      </c>
      <c r="G189" s="178">
        <v>150</v>
      </c>
      <c r="H189" s="178">
        <v>18</v>
      </c>
      <c r="I189" s="178">
        <v>1</v>
      </c>
      <c r="J189" s="215">
        <v>0.1233</v>
      </c>
    </row>
    <row r="190" spans="1:10">
      <c r="A190" s="176">
        <v>183</v>
      </c>
      <c r="B190" s="178" t="s">
        <v>556</v>
      </c>
      <c r="C190" s="178" t="s">
        <v>146</v>
      </c>
      <c r="D190" s="178" t="s">
        <v>32</v>
      </c>
      <c r="E190" s="178" t="s">
        <v>115</v>
      </c>
      <c r="F190" s="178">
        <v>822</v>
      </c>
      <c r="G190" s="178">
        <v>80</v>
      </c>
      <c r="H190" s="178">
        <v>18</v>
      </c>
      <c r="I190" s="178">
        <v>1</v>
      </c>
      <c r="J190" s="215">
        <v>0.0658</v>
      </c>
    </row>
    <row r="191" spans="1:10">
      <c r="A191" s="176">
        <v>184</v>
      </c>
      <c r="B191" s="178" t="s">
        <v>556</v>
      </c>
      <c r="C191" s="178" t="s">
        <v>114</v>
      </c>
      <c r="D191" s="178" t="s">
        <v>32</v>
      </c>
      <c r="E191" s="178" t="s">
        <v>115</v>
      </c>
      <c r="F191" s="178">
        <v>2325</v>
      </c>
      <c r="G191" s="178">
        <v>200</v>
      </c>
      <c r="H191" s="178">
        <v>18</v>
      </c>
      <c r="I191" s="178">
        <v>1</v>
      </c>
      <c r="J191" s="215">
        <v>0.465</v>
      </c>
    </row>
    <row r="192" spans="1:10">
      <c r="A192" s="176">
        <v>185</v>
      </c>
      <c r="B192" s="178" t="s">
        <v>556</v>
      </c>
      <c r="C192" s="178" t="s">
        <v>139</v>
      </c>
      <c r="D192" s="178" t="s">
        <v>32</v>
      </c>
      <c r="E192" s="178" t="s">
        <v>115</v>
      </c>
      <c r="F192" s="178">
        <v>2325</v>
      </c>
      <c r="G192" s="178">
        <v>100</v>
      </c>
      <c r="H192" s="178">
        <v>18</v>
      </c>
      <c r="I192" s="178">
        <v>1</v>
      </c>
      <c r="J192" s="215">
        <v>0.2325</v>
      </c>
    </row>
    <row r="193" spans="1:10">
      <c r="A193" s="176">
        <v>186</v>
      </c>
      <c r="B193" s="178" t="s">
        <v>556</v>
      </c>
      <c r="C193" s="178" t="s">
        <v>114</v>
      </c>
      <c r="D193" s="178" t="s">
        <v>32</v>
      </c>
      <c r="E193" s="178" t="s">
        <v>115</v>
      </c>
      <c r="F193" s="178">
        <v>2325</v>
      </c>
      <c r="G193" s="178">
        <v>300</v>
      </c>
      <c r="H193" s="178">
        <v>18</v>
      </c>
      <c r="I193" s="178">
        <v>1</v>
      </c>
      <c r="J193" s="215">
        <v>0.6975</v>
      </c>
    </row>
    <row r="194" spans="1:10">
      <c r="A194" s="176">
        <v>187</v>
      </c>
      <c r="B194" s="178" t="s">
        <v>556</v>
      </c>
      <c r="C194" s="178" t="s">
        <v>110</v>
      </c>
      <c r="D194" s="178" t="s">
        <v>32</v>
      </c>
      <c r="E194" s="178" t="s">
        <v>115</v>
      </c>
      <c r="F194" s="178">
        <v>2325</v>
      </c>
      <c r="G194" s="178">
        <v>100</v>
      </c>
      <c r="H194" s="178">
        <v>18</v>
      </c>
      <c r="I194" s="178">
        <v>1</v>
      </c>
      <c r="J194" s="215">
        <v>0.2325</v>
      </c>
    </row>
    <row r="195" spans="1:10">
      <c r="A195" s="176">
        <v>188</v>
      </c>
      <c r="B195" s="178" t="s">
        <v>556</v>
      </c>
      <c r="C195" s="178" t="s">
        <v>31</v>
      </c>
      <c r="D195" s="178" t="s">
        <v>32</v>
      </c>
      <c r="E195" s="178" t="s">
        <v>111</v>
      </c>
      <c r="F195" s="178">
        <v>597</v>
      </c>
      <c r="G195" s="178">
        <v>399</v>
      </c>
      <c r="H195" s="178">
        <v>18</v>
      </c>
      <c r="I195" s="178">
        <v>1</v>
      </c>
      <c r="J195" s="215">
        <v>0.2382</v>
      </c>
    </row>
    <row r="196" spans="1:10">
      <c r="A196" s="176">
        <v>189</v>
      </c>
      <c r="B196" s="178" t="s">
        <v>556</v>
      </c>
      <c r="C196" s="178" t="s">
        <v>35</v>
      </c>
      <c r="D196" s="178" t="s">
        <v>32</v>
      </c>
      <c r="E196" s="178" t="s">
        <v>111</v>
      </c>
      <c r="F196" s="178">
        <v>597</v>
      </c>
      <c r="G196" s="178">
        <v>399</v>
      </c>
      <c r="H196" s="178">
        <v>18</v>
      </c>
      <c r="I196" s="178">
        <v>1</v>
      </c>
      <c r="J196" s="215">
        <v>0.2382</v>
      </c>
    </row>
    <row r="197" spans="1:10">
      <c r="A197" s="176">
        <v>190</v>
      </c>
      <c r="B197" s="178" t="s">
        <v>556</v>
      </c>
      <c r="C197" s="178" t="s">
        <v>31</v>
      </c>
      <c r="D197" s="178" t="s">
        <v>32</v>
      </c>
      <c r="E197" s="178" t="s">
        <v>111</v>
      </c>
      <c r="F197" s="178">
        <v>1662</v>
      </c>
      <c r="G197" s="178">
        <v>399</v>
      </c>
      <c r="H197" s="178">
        <v>18</v>
      </c>
      <c r="I197" s="178">
        <v>1</v>
      </c>
      <c r="J197" s="215">
        <v>0.6631</v>
      </c>
    </row>
    <row r="198" spans="1:10">
      <c r="A198" s="176">
        <v>191</v>
      </c>
      <c r="B198" s="178" t="s">
        <v>556</v>
      </c>
      <c r="C198" s="178" t="s">
        <v>35</v>
      </c>
      <c r="D198" s="178" t="s">
        <v>32</v>
      </c>
      <c r="E198" s="178" t="s">
        <v>111</v>
      </c>
      <c r="F198" s="178">
        <v>1662</v>
      </c>
      <c r="G198" s="178">
        <v>399</v>
      </c>
      <c r="H198" s="178">
        <v>18</v>
      </c>
      <c r="I198" s="178">
        <v>1</v>
      </c>
      <c r="J198" s="215">
        <v>0.6631</v>
      </c>
    </row>
    <row r="199" spans="1:10">
      <c r="A199" s="176">
        <v>192</v>
      </c>
      <c r="B199" s="178" t="s">
        <v>557</v>
      </c>
      <c r="C199" s="178" t="s">
        <v>117</v>
      </c>
      <c r="D199" s="178" t="s">
        <v>32</v>
      </c>
      <c r="E199" s="178" t="s">
        <v>115</v>
      </c>
      <c r="F199" s="178">
        <v>1635</v>
      </c>
      <c r="G199" s="178">
        <v>389</v>
      </c>
      <c r="H199" s="178">
        <v>18</v>
      </c>
      <c r="I199" s="178">
        <v>1</v>
      </c>
      <c r="J199" s="215">
        <v>0.636</v>
      </c>
    </row>
    <row r="200" spans="1:10">
      <c r="A200" s="176">
        <v>193</v>
      </c>
      <c r="B200" s="178" t="s">
        <v>557</v>
      </c>
      <c r="C200" s="178" t="s">
        <v>131</v>
      </c>
      <c r="D200" s="178" t="s">
        <v>32</v>
      </c>
      <c r="E200" s="178" t="s">
        <v>111</v>
      </c>
      <c r="F200" s="178">
        <v>180</v>
      </c>
      <c r="G200" s="178">
        <v>50</v>
      </c>
      <c r="H200" s="178">
        <v>18</v>
      </c>
      <c r="I200" s="178">
        <v>1</v>
      </c>
      <c r="J200" s="215">
        <v>0.009</v>
      </c>
    </row>
    <row r="201" spans="1:10">
      <c r="A201" s="176">
        <v>194</v>
      </c>
      <c r="B201" s="178" t="s">
        <v>557</v>
      </c>
      <c r="C201" s="178" t="s">
        <v>110</v>
      </c>
      <c r="D201" s="178" t="s">
        <v>32</v>
      </c>
      <c r="E201" s="178" t="s">
        <v>115</v>
      </c>
      <c r="F201" s="178">
        <v>152</v>
      </c>
      <c r="G201" s="178">
        <v>389</v>
      </c>
      <c r="H201" s="178">
        <v>18</v>
      </c>
      <c r="I201" s="178">
        <v>1</v>
      </c>
      <c r="J201" s="215">
        <v>0.0591</v>
      </c>
    </row>
    <row r="202" spans="1:10">
      <c r="A202" s="176">
        <v>195</v>
      </c>
      <c r="B202" s="178" t="s">
        <v>557</v>
      </c>
      <c r="C202" s="178" t="s">
        <v>119</v>
      </c>
      <c r="D202" s="178" t="s">
        <v>32</v>
      </c>
      <c r="E202" s="178" t="s">
        <v>111</v>
      </c>
      <c r="F202" s="178">
        <v>464</v>
      </c>
      <c r="G202" s="178">
        <v>177</v>
      </c>
      <c r="H202" s="178">
        <v>18</v>
      </c>
      <c r="I202" s="178">
        <v>1</v>
      </c>
      <c r="J202" s="215">
        <v>0.0821</v>
      </c>
    </row>
    <row r="203" spans="1:10">
      <c r="A203" s="176">
        <v>196</v>
      </c>
      <c r="B203" s="178" t="s">
        <v>557</v>
      </c>
      <c r="C203" s="178" t="s">
        <v>121</v>
      </c>
      <c r="D203" s="178" t="s">
        <v>32</v>
      </c>
      <c r="E203" s="178" t="s">
        <v>115</v>
      </c>
      <c r="F203" s="178">
        <v>378</v>
      </c>
      <c r="G203" s="178">
        <v>130</v>
      </c>
      <c r="H203" s="178">
        <v>18</v>
      </c>
      <c r="I203" s="178">
        <v>1</v>
      </c>
      <c r="J203" s="215">
        <v>0.0491</v>
      </c>
    </row>
    <row r="204" spans="1:10">
      <c r="A204" s="176">
        <v>197</v>
      </c>
      <c r="B204" s="178" t="s">
        <v>557</v>
      </c>
      <c r="C204" s="178" t="s">
        <v>123</v>
      </c>
      <c r="D204" s="178" t="s">
        <v>32</v>
      </c>
      <c r="E204" s="178" t="s">
        <v>115</v>
      </c>
      <c r="F204" s="178">
        <v>378</v>
      </c>
      <c r="G204" s="178">
        <v>130</v>
      </c>
      <c r="H204" s="178">
        <v>18</v>
      </c>
      <c r="I204" s="178">
        <v>1</v>
      </c>
      <c r="J204" s="215">
        <v>0.0491</v>
      </c>
    </row>
    <row r="205" spans="1:10">
      <c r="A205" s="176">
        <v>198</v>
      </c>
      <c r="B205" s="178" t="s">
        <v>557</v>
      </c>
      <c r="C205" s="178" t="s">
        <v>124</v>
      </c>
      <c r="D205" s="178" t="s">
        <v>32</v>
      </c>
      <c r="E205" s="178" t="s">
        <v>115</v>
      </c>
      <c r="F205" s="178">
        <v>350</v>
      </c>
      <c r="G205" s="178">
        <v>130</v>
      </c>
      <c r="H205" s="178">
        <v>18</v>
      </c>
      <c r="I205" s="178">
        <v>1</v>
      </c>
      <c r="J205" s="215">
        <v>0.0455</v>
      </c>
    </row>
    <row r="206" spans="1:10">
      <c r="A206" s="176">
        <v>199</v>
      </c>
      <c r="B206" s="178" t="s">
        <v>557</v>
      </c>
      <c r="C206" s="178" t="s">
        <v>126</v>
      </c>
      <c r="D206" s="178" t="s">
        <v>32</v>
      </c>
      <c r="E206" s="178" t="s">
        <v>115</v>
      </c>
      <c r="F206" s="178">
        <v>350</v>
      </c>
      <c r="G206" s="178">
        <v>130</v>
      </c>
      <c r="H206" s="178">
        <v>18</v>
      </c>
      <c r="I206" s="178">
        <v>1</v>
      </c>
      <c r="J206" s="215">
        <v>0.0455</v>
      </c>
    </row>
    <row r="207" spans="1:10">
      <c r="A207" s="176">
        <v>200</v>
      </c>
      <c r="B207" s="178" t="s">
        <v>557</v>
      </c>
      <c r="C207" s="178" t="s">
        <v>127</v>
      </c>
      <c r="D207" s="178" t="s">
        <v>32</v>
      </c>
      <c r="E207" s="178" t="s">
        <v>115</v>
      </c>
      <c r="F207" s="178">
        <v>388</v>
      </c>
      <c r="G207" s="178">
        <v>324</v>
      </c>
      <c r="H207" s="178">
        <v>9</v>
      </c>
      <c r="I207" s="178">
        <v>1</v>
      </c>
      <c r="J207" s="215">
        <v>0.1257</v>
      </c>
    </row>
    <row r="208" spans="1:10">
      <c r="A208" s="176">
        <v>201</v>
      </c>
      <c r="B208" s="178" t="s">
        <v>557</v>
      </c>
      <c r="C208" s="178" t="s">
        <v>221</v>
      </c>
      <c r="D208" s="178" t="s">
        <v>32</v>
      </c>
      <c r="E208" s="178" t="s">
        <v>115</v>
      </c>
      <c r="F208" s="178">
        <v>152</v>
      </c>
      <c r="G208" s="178">
        <v>389</v>
      </c>
      <c r="H208" s="178">
        <v>18</v>
      </c>
      <c r="I208" s="178">
        <v>1</v>
      </c>
      <c r="J208" s="215">
        <v>0.0591</v>
      </c>
    </row>
    <row r="209" spans="1:10">
      <c r="A209" s="176">
        <v>202</v>
      </c>
      <c r="B209" s="178" t="s">
        <v>557</v>
      </c>
      <c r="C209" s="178" t="s">
        <v>119</v>
      </c>
      <c r="D209" s="178" t="s">
        <v>32</v>
      </c>
      <c r="E209" s="178" t="s">
        <v>111</v>
      </c>
      <c r="F209" s="178">
        <v>465</v>
      </c>
      <c r="G209" s="178">
        <v>177</v>
      </c>
      <c r="H209" s="178">
        <v>18</v>
      </c>
      <c r="I209" s="178">
        <v>1</v>
      </c>
      <c r="J209" s="215">
        <v>0.0823</v>
      </c>
    </row>
    <row r="210" spans="1:10">
      <c r="A210" s="176">
        <v>203</v>
      </c>
      <c r="B210" s="178" t="s">
        <v>557</v>
      </c>
      <c r="C210" s="178" t="s">
        <v>121</v>
      </c>
      <c r="D210" s="178" t="s">
        <v>32</v>
      </c>
      <c r="E210" s="178" t="s">
        <v>115</v>
      </c>
      <c r="F210" s="178">
        <v>379</v>
      </c>
      <c r="G210" s="178">
        <v>130</v>
      </c>
      <c r="H210" s="178">
        <v>18</v>
      </c>
      <c r="I210" s="178">
        <v>1</v>
      </c>
      <c r="J210" s="215">
        <v>0.0493</v>
      </c>
    </row>
    <row r="211" spans="1:10">
      <c r="A211" s="176">
        <v>204</v>
      </c>
      <c r="B211" s="178" t="s">
        <v>557</v>
      </c>
      <c r="C211" s="178" t="s">
        <v>123</v>
      </c>
      <c r="D211" s="178" t="s">
        <v>32</v>
      </c>
      <c r="E211" s="178" t="s">
        <v>115</v>
      </c>
      <c r="F211" s="178">
        <v>379</v>
      </c>
      <c r="G211" s="178">
        <v>130</v>
      </c>
      <c r="H211" s="178">
        <v>18</v>
      </c>
      <c r="I211" s="178">
        <v>1</v>
      </c>
      <c r="J211" s="215">
        <v>0.0493</v>
      </c>
    </row>
    <row r="212" spans="1:10">
      <c r="A212" s="176">
        <v>205</v>
      </c>
      <c r="B212" s="178" t="s">
        <v>557</v>
      </c>
      <c r="C212" s="178" t="s">
        <v>124</v>
      </c>
      <c r="D212" s="178" t="s">
        <v>32</v>
      </c>
      <c r="E212" s="178" t="s">
        <v>115</v>
      </c>
      <c r="F212" s="178">
        <v>350</v>
      </c>
      <c r="G212" s="178">
        <v>130</v>
      </c>
      <c r="H212" s="178">
        <v>18</v>
      </c>
      <c r="I212" s="178">
        <v>1</v>
      </c>
      <c r="J212" s="215">
        <v>0.0455</v>
      </c>
    </row>
    <row r="213" spans="1:10">
      <c r="A213" s="176">
        <v>206</v>
      </c>
      <c r="B213" s="178" t="s">
        <v>557</v>
      </c>
      <c r="C213" s="178" t="s">
        <v>126</v>
      </c>
      <c r="D213" s="178" t="s">
        <v>32</v>
      </c>
      <c r="E213" s="178" t="s">
        <v>115</v>
      </c>
      <c r="F213" s="178">
        <v>350</v>
      </c>
      <c r="G213" s="178">
        <v>130</v>
      </c>
      <c r="H213" s="178">
        <v>18</v>
      </c>
      <c r="I213" s="178">
        <v>1</v>
      </c>
      <c r="J213" s="215">
        <v>0.0455</v>
      </c>
    </row>
    <row r="214" spans="1:10">
      <c r="A214" s="176">
        <v>207</v>
      </c>
      <c r="B214" s="178" t="s">
        <v>557</v>
      </c>
      <c r="C214" s="178" t="s">
        <v>127</v>
      </c>
      <c r="D214" s="178" t="s">
        <v>32</v>
      </c>
      <c r="E214" s="178" t="s">
        <v>115</v>
      </c>
      <c r="F214" s="178">
        <v>389</v>
      </c>
      <c r="G214" s="178">
        <v>324</v>
      </c>
      <c r="H214" s="178">
        <v>9</v>
      </c>
      <c r="I214" s="178">
        <v>1</v>
      </c>
      <c r="J214" s="215">
        <v>0.126</v>
      </c>
    </row>
    <row r="215" spans="1:10">
      <c r="A215" s="176">
        <v>208</v>
      </c>
      <c r="B215" s="178" t="s">
        <v>557</v>
      </c>
      <c r="C215" s="178" t="s">
        <v>221</v>
      </c>
      <c r="D215" s="178" t="s">
        <v>32</v>
      </c>
      <c r="E215" s="178" t="s">
        <v>115</v>
      </c>
      <c r="F215" s="178">
        <v>152</v>
      </c>
      <c r="G215" s="178">
        <v>389</v>
      </c>
      <c r="H215" s="178">
        <v>18</v>
      </c>
      <c r="I215" s="178">
        <v>1</v>
      </c>
      <c r="J215" s="215">
        <v>0.0591</v>
      </c>
    </row>
    <row r="216" spans="1:10">
      <c r="A216" s="176">
        <v>209</v>
      </c>
      <c r="B216" s="178" t="s">
        <v>557</v>
      </c>
      <c r="C216" s="178" t="s">
        <v>131</v>
      </c>
      <c r="D216" s="178" t="s">
        <v>32</v>
      </c>
      <c r="E216" s="178" t="s">
        <v>111</v>
      </c>
      <c r="F216" s="178">
        <v>180</v>
      </c>
      <c r="G216" s="178">
        <v>650</v>
      </c>
      <c r="H216" s="178">
        <v>18</v>
      </c>
      <c r="I216" s="178">
        <v>1</v>
      </c>
      <c r="J216" s="215">
        <v>0.117</v>
      </c>
    </row>
    <row r="217" spans="1:10">
      <c r="A217" s="176">
        <v>210</v>
      </c>
      <c r="B217" s="178" t="s">
        <v>557</v>
      </c>
      <c r="C217" s="178" t="s">
        <v>223</v>
      </c>
      <c r="D217" s="178" t="s">
        <v>32</v>
      </c>
      <c r="E217" s="178" t="s">
        <v>115</v>
      </c>
      <c r="F217" s="178">
        <v>152</v>
      </c>
      <c r="G217" s="178">
        <v>389</v>
      </c>
      <c r="H217" s="178">
        <v>18</v>
      </c>
      <c r="I217" s="178">
        <v>1</v>
      </c>
      <c r="J217" s="215">
        <v>0.0591</v>
      </c>
    </row>
    <row r="218" spans="1:10">
      <c r="A218" s="176">
        <v>211</v>
      </c>
      <c r="B218" s="178" t="s">
        <v>557</v>
      </c>
      <c r="C218" s="178" t="s">
        <v>114</v>
      </c>
      <c r="D218" s="178" t="s">
        <v>32</v>
      </c>
      <c r="E218" s="178" t="s">
        <v>115</v>
      </c>
      <c r="F218" s="178">
        <v>762</v>
      </c>
      <c r="G218" s="178">
        <v>1635</v>
      </c>
      <c r="H218" s="178">
        <v>18</v>
      </c>
      <c r="I218" s="178">
        <v>1</v>
      </c>
      <c r="J218" s="215">
        <v>1.2459</v>
      </c>
    </row>
    <row r="219" spans="1:10">
      <c r="A219" s="176">
        <v>212</v>
      </c>
      <c r="B219" s="178" t="s">
        <v>557</v>
      </c>
      <c r="C219" s="178" t="s">
        <v>142</v>
      </c>
      <c r="D219" s="178" t="s">
        <v>32</v>
      </c>
      <c r="E219" s="178" t="s">
        <v>115</v>
      </c>
      <c r="F219" s="178">
        <v>1635</v>
      </c>
      <c r="G219" s="178">
        <v>570</v>
      </c>
      <c r="H219" s="178">
        <v>18</v>
      </c>
      <c r="I219" s="178">
        <v>1</v>
      </c>
      <c r="J219" s="215">
        <v>0.932</v>
      </c>
    </row>
    <row r="220" spans="1:10">
      <c r="A220" s="176">
        <v>213</v>
      </c>
      <c r="B220" s="178" t="s">
        <v>557</v>
      </c>
      <c r="C220" s="178" t="s">
        <v>114</v>
      </c>
      <c r="D220" s="178" t="s">
        <v>32</v>
      </c>
      <c r="E220" s="178" t="s">
        <v>115</v>
      </c>
      <c r="F220" s="178">
        <v>120</v>
      </c>
      <c r="G220" s="178">
        <v>1635</v>
      </c>
      <c r="H220" s="178">
        <v>18</v>
      </c>
      <c r="I220" s="178">
        <v>1</v>
      </c>
      <c r="J220" s="215">
        <v>0.1962</v>
      </c>
    </row>
    <row r="221" spans="1:10">
      <c r="A221" s="176">
        <v>214</v>
      </c>
      <c r="B221" s="178" t="s">
        <v>38</v>
      </c>
      <c r="C221" s="178" t="s">
        <v>110</v>
      </c>
      <c r="D221" s="178" t="s">
        <v>32</v>
      </c>
      <c r="E221" s="178" t="s">
        <v>111</v>
      </c>
      <c r="F221" s="178">
        <v>2162</v>
      </c>
      <c r="G221" s="178">
        <v>600</v>
      </c>
      <c r="H221" s="178">
        <v>18</v>
      </c>
      <c r="I221" s="178">
        <v>1</v>
      </c>
      <c r="J221" s="215">
        <v>1.2972</v>
      </c>
    </row>
    <row r="222" spans="1:10">
      <c r="A222" s="176">
        <v>215</v>
      </c>
      <c r="B222" s="178" t="s">
        <v>38</v>
      </c>
      <c r="C222" s="178" t="s">
        <v>110</v>
      </c>
      <c r="D222" s="178" t="s">
        <v>32</v>
      </c>
      <c r="E222" s="178" t="s">
        <v>115</v>
      </c>
      <c r="F222" s="178">
        <v>2112</v>
      </c>
      <c r="G222" s="178">
        <v>580</v>
      </c>
      <c r="H222" s="178">
        <v>18</v>
      </c>
      <c r="I222" s="178">
        <v>1</v>
      </c>
      <c r="J222" s="215">
        <v>1.225</v>
      </c>
    </row>
    <row r="223" spans="1:10">
      <c r="A223" s="176">
        <v>216</v>
      </c>
      <c r="B223" s="178" t="s">
        <v>38</v>
      </c>
      <c r="C223" s="178" t="s">
        <v>199</v>
      </c>
      <c r="D223" s="178" t="s">
        <v>32</v>
      </c>
      <c r="E223" s="178" t="s">
        <v>115</v>
      </c>
      <c r="F223" s="178">
        <v>388</v>
      </c>
      <c r="G223" s="178">
        <v>60</v>
      </c>
      <c r="H223" s="178">
        <v>18</v>
      </c>
      <c r="I223" s="178">
        <v>1</v>
      </c>
      <c r="J223" s="215">
        <v>0.0233</v>
      </c>
    </row>
    <row r="224" spans="1:10">
      <c r="A224" s="176">
        <v>217</v>
      </c>
      <c r="B224" s="178" t="s">
        <v>38</v>
      </c>
      <c r="C224" s="178" t="s">
        <v>199</v>
      </c>
      <c r="D224" s="178" t="s">
        <v>32</v>
      </c>
      <c r="E224" s="178" t="s">
        <v>115</v>
      </c>
      <c r="F224" s="178">
        <v>388</v>
      </c>
      <c r="G224" s="178">
        <v>60</v>
      </c>
      <c r="H224" s="178">
        <v>18</v>
      </c>
      <c r="I224" s="178">
        <v>1</v>
      </c>
      <c r="J224" s="215">
        <v>0.0233</v>
      </c>
    </row>
    <row r="225" spans="1:10">
      <c r="A225" s="176">
        <v>218</v>
      </c>
      <c r="B225" s="178" t="s">
        <v>38</v>
      </c>
      <c r="C225" s="178" t="s">
        <v>117</v>
      </c>
      <c r="D225" s="178" t="s">
        <v>32</v>
      </c>
      <c r="E225" s="178" t="s">
        <v>115</v>
      </c>
      <c r="F225" s="178">
        <v>388</v>
      </c>
      <c r="G225" s="178">
        <v>580</v>
      </c>
      <c r="H225" s="178">
        <v>18</v>
      </c>
      <c r="I225" s="178">
        <v>1</v>
      </c>
      <c r="J225" s="215">
        <v>0.225</v>
      </c>
    </row>
    <row r="226" spans="1:10">
      <c r="A226" s="176">
        <v>219</v>
      </c>
      <c r="B226" s="178" t="s">
        <v>38</v>
      </c>
      <c r="C226" s="178" t="s">
        <v>119</v>
      </c>
      <c r="D226" s="178" t="s">
        <v>32</v>
      </c>
      <c r="E226" s="178" t="s">
        <v>111</v>
      </c>
      <c r="F226" s="178">
        <v>421</v>
      </c>
      <c r="G226" s="178">
        <v>379</v>
      </c>
      <c r="H226" s="178">
        <v>18</v>
      </c>
      <c r="I226" s="178">
        <v>1</v>
      </c>
      <c r="J226" s="215">
        <v>0.1596</v>
      </c>
    </row>
    <row r="227" spans="1:10">
      <c r="A227" s="176">
        <v>220</v>
      </c>
      <c r="B227" s="178" t="s">
        <v>38</v>
      </c>
      <c r="C227" s="178" t="s">
        <v>121</v>
      </c>
      <c r="D227" s="178" t="s">
        <v>32</v>
      </c>
      <c r="E227" s="178" t="s">
        <v>115</v>
      </c>
      <c r="F227" s="178">
        <v>326</v>
      </c>
      <c r="G227" s="178">
        <v>250</v>
      </c>
      <c r="H227" s="178">
        <v>18</v>
      </c>
      <c r="I227" s="178">
        <v>1</v>
      </c>
      <c r="J227" s="215">
        <v>0.0815</v>
      </c>
    </row>
    <row r="228" spans="1:10">
      <c r="A228" s="176">
        <v>221</v>
      </c>
      <c r="B228" s="178" t="s">
        <v>38</v>
      </c>
      <c r="C228" s="178" t="s">
        <v>123</v>
      </c>
      <c r="D228" s="178" t="s">
        <v>32</v>
      </c>
      <c r="E228" s="178" t="s">
        <v>115</v>
      </c>
      <c r="F228" s="178">
        <v>326</v>
      </c>
      <c r="G228" s="178">
        <v>250</v>
      </c>
      <c r="H228" s="178">
        <v>18</v>
      </c>
      <c r="I228" s="178">
        <v>1</v>
      </c>
      <c r="J228" s="215">
        <v>0.0815</v>
      </c>
    </row>
    <row r="229" spans="1:10">
      <c r="A229" s="176">
        <v>222</v>
      </c>
      <c r="B229" s="178" t="s">
        <v>38</v>
      </c>
      <c r="C229" s="178" t="s">
        <v>124</v>
      </c>
      <c r="D229" s="178" t="s">
        <v>32</v>
      </c>
      <c r="E229" s="178" t="s">
        <v>115</v>
      </c>
      <c r="F229" s="178">
        <v>500</v>
      </c>
      <c r="G229" s="178">
        <v>250</v>
      </c>
      <c r="H229" s="178">
        <v>18</v>
      </c>
      <c r="I229" s="178">
        <v>1</v>
      </c>
      <c r="J229" s="215">
        <v>0.125</v>
      </c>
    </row>
    <row r="230" spans="1:10">
      <c r="A230" s="176">
        <v>223</v>
      </c>
      <c r="B230" s="178" t="s">
        <v>38</v>
      </c>
      <c r="C230" s="178" t="s">
        <v>126</v>
      </c>
      <c r="D230" s="178" t="s">
        <v>32</v>
      </c>
      <c r="E230" s="178" t="s">
        <v>115</v>
      </c>
      <c r="F230" s="178">
        <v>500</v>
      </c>
      <c r="G230" s="178">
        <v>250</v>
      </c>
      <c r="H230" s="178">
        <v>18</v>
      </c>
      <c r="I230" s="178">
        <v>1</v>
      </c>
      <c r="J230" s="215">
        <v>0.125</v>
      </c>
    </row>
    <row r="231" spans="1:10">
      <c r="A231" s="176">
        <v>224</v>
      </c>
      <c r="B231" s="178" t="s">
        <v>38</v>
      </c>
      <c r="C231" s="178" t="s">
        <v>127</v>
      </c>
      <c r="D231" s="178" t="s">
        <v>32</v>
      </c>
      <c r="E231" s="178" t="s">
        <v>115</v>
      </c>
      <c r="F231" s="178">
        <v>336</v>
      </c>
      <c r="G231" s="178">
        <v>474</v>
      </c>
      <c r="H231" s="178">
        <v>9</v>
      </c>
      <c r="I231" s="178">
        <v>1</v>
      </c>
      <c r="J231" s="215">
        <v>0.1593</v>
      </c>
    </row>
    <row r="232" spans="1:10">
      <c r="A232" s="176">
        <v>225</v>
      </c>
      <c r="B232" s="178" t="s">
        <v>38</v>
      </c>
      <c r="C232" s="178" t="s">
        <v>129</v>
      </c>
      <c r="D232" s="178" t="s">
        <v>32</v>
      </c>
      <c r="E232" s="178" t="s">
        <v>115</v>
      </c>
      <c r="F232" s="178">
        <v>388</v>
      </c>
      <c r="G232" s="178">
        <v>551</v>
      </c>
      <c r="H232" s="178">
        <v>18</v>
      </c>
      <c r="I232" s="178">
        <v>1</v>
      </c>
      <c r="J232" s="215">
        <v>0.2138</v>
      </c>
    </row>
    <row r="233" spans="1:10">
      <c r="A233" s="176">
        <v>226</v>
      </c>
      <c r="B233" s="178" t="s">
        <v>38</v>
      </c>
      <c r="C233" s="178" t="s">
        <v>119</v>
      </c>
      <c r="D233" s="178" t="s">
        <v>32</v>
      </c>
      <c r="E233" s="178" t="s">
        <v>111</v>
      </c>
      <c r="F233" s="178">
        <v>421</v>
      </c>
      <c r="G233" s="178">
        <v>177</v>
      </c>
      <c r="H233" s="178">
        <v>18</v>
      </c>
      <c r="I233" s="178">
        <v>1</v>
      </c>
      <c r="J233" s="215">
        <v>0.0745</v>
      </c>
    </row>
    <row r="234" spans="1:10">
      <c r="A234" s="176">
        <v>227</v>
      </c>
      <c r="B234" s="178" t="s">
        <v>38</v>
      </c>
      <c r="C234" s="178" t="s">
        <v>121</v>
      </c>
      <c r="D234" s="178" t="s">
        <v>32</v>
      </c>
      <c r="E234" s="178" t="s">
        <v>115</v>
      </c>
      <c r="F234" s="178">
        <v>326</v>
      </c>
      <c r="G234" s="178">
        <v>130</v>
      </c>
      <c r="H234" s="178">
        <v>18</v>
      </c>
      <c r="I234" s="178">
        <v>1</v>
      </c>
      <c r="J234" s="215">
        <v>0.0424</v>
      </c>
    </row>
    <row r="235" spans="1:10">
      <c r="A235" s="176">
        <v>228</v>
      </c>
      <c r="B235" s="178" t="s">
        <v>38</v>
      </c>
      <c r="C235" s="178" t="s">
        <v>123</v>
      </c>
      <c r="D235" s="178" t="s">
        <v>32</v>
      </c>
      <c r="E235" s="178" t="s">
        <v>115</v>
      </c>
      <c r="F235" s="178">
        <v>326</v>
      </c>
      <c r="G235" s="178">
        <v>130</v>
      </c>
      <c r="H235" s="178">
        <v>18</v>
      </c>
      <c r="I235" s="178">
        <v>1</v>
      </c>
      <c r="J235" s="215">
        <v>0.0424</v>
      </c>
    </row>
    <row r="236" spans="1:10">
      <c r="A236" s="176">
        <v>229</v>
      </c>
      <c r="B236" s="178" t="s">
        <v>38</v>
      </c>
      <c r="C236" s="178" t="s">
        <v>124</v>
      </c>
      <c r="D236" s="178" t="s">
        <v>32</v>
      </c>
      <c r="E236" s="178" t="s">
        <v>115</v>
      </c>
      <c r="F236" s="178">
        <v>500</v>
      </c>
      <c r="G236" s="178">
        <v>130</v>
      </c>
      <c r="H236" s="178">
        <v>18</v>
      </c>
      <c r="I236" s="178">
        <v>1</v>
      </c>
      <c r="J236" s="215">
        <v>0.065</v>
      </c>
    </row>
    <row r="237" spans="1:10">
      <c r="A237" s="176">
        <v>230</v>
      </c>
      <c r="B237" s="178" t="s">
        <v>38</v>
      </c>
      <c r="C237" s="178" t="s">
        <v>126</v>
      </c>
      <c r="D237" s="178" t="s">
        <v>32</v>
      </c>
      <c r="E237" s="178" t="s">
        <v>115</v>
      </c>
      <c r="F237" s="178">
        <v>500</v>
      </c>
      <c r="G237" s="178">
        <v>130</v>
      </c>
      <c r="H237" s="178">
        <v>18</v>
      </c>
      <c r="I237" s="178">
        <v>1</v>
      </c>
      <c r="J237" s="215">
        <v>0.065</v>
      </c>
    </row>
    <row r="238" spans="1:10">
      <c r="A238" s="176">
        <v>231</v>
      </c>
      <c r="B238" s="178" t="s">
        <v>38</v>
      </c>
      <c r="C238" s="178" t="s">
        <v>127</v>
      </c>
      <c r="D238" s="178" t="s">
        <v>32</v>
      </c>
      <c r="E238" s="178" t="s">
        <v>115</v>
      </c>
      <c r="F238" s="178">
        <v>336</v>
      </c>
      <c r="G238" s="178">
        <v>474</v>
      </c>
      <c r="H238" s="178">
        <v>9</v>
      </c>
      <c r="I238" s="178">
        <v>1</v>
      </c>
      <c r="J238" s="215">
        <v>0.1593</v>
      </c>
    </row>
    <row r="239" spans="1:10">
      <c r="A239" s="176">
        <v>232</v>
      </c>
      <c r="B239" s="178" t="s">
        <v>38</v>
      </c>
      <c r="C239" s="178" t="s">
        <v>129</v>
      </c>
      <c r="D239" s="178" t="s">
        <v>32</v>
      </c>
      <c r="E239" s="178" t="s">
        <v>115</v>
      </c>
      <c r="F239" s="178">
        <v>388</v>
      </c>
      <c r="G239" s="178">
        <v>551</v>
      </c>
      <c r="H239" s="178">
        <v>18</v>
      </c>
      <c r="I239" s="178">
        <v>1</v>
      </c>
      <c r="J239" s="215">
        <v>0.2138</v>
      </c>
    </row>
    <row r="240" spans="1:10">
      <c r="A240" s="176">
        <v>233</v>
      </c>
      <c r="B240" s="178" t="s">
        <v>38</v>
      </c>
      <c r="C240" s="178" t="s">
        <v>119</v>
      </c>
      <c r="D240" s="178" t="s">
        <v>32</v>
      </c>
      <c r="E240" s="178" t="s">
        <v>111</v>
      </c>
      <c r="F240" s="178">
        <v>421</v>
      </c>
      <c r="G240" s="178">
        <v>177</v>
      </c>
      <c r="H240" s="178">
        <v>18</v>
      </c>
      <c r="I240" s="178">
        <v>1</v>
      </c>
      <c r="J240" s="215">
        <v>0.0745</v>
      </c>
    </row>
    <row r="241" spans="1:10">
      <c r="A241" s="176">
        <v>234</v>
      </c>
      <c r="B241" s="178" t="s">
        <v>38</v>
      </c>
      <c r="C241" s="178" t="s">
        <v>121</v>
      </c>
      <c r="D241" s="178" t="s">
        <v>32</v>
      </c>
      <c r="E241" s="178" t="s">
        <v>115</v>
      </c>
      <c r="F241" s="178">
        <v>326</v>
      </c>
      <c r="G241" s="178">
        <v>130</v>
      </c>
      <c r="H241" s="178">
        <v>18</v>
      </c>
      <c r="I241" s="178">
        <v>1</v>
      </c>
      <c r="J241" s="215">
        <v>0.0424</v>
      </c>
    </row>
    <row r="242" spans="1:10">
      <c r="A242" s="176">
        <v>235</v>
      </c>
      <c r="B242" s="178" t="s">
        <v>38</v>
      </c>
      <c r="C242" s="178" t="s">
        <v>123</v>
      </c>
      <c r="D242" s="178" t="s">
        <v>32</v>
      </c>
      <c r="E242" s="178" t="s">
        <v>115</v>
      </c>
      <c r="F242" s="178">
        <v>326</v>
      </c>
      <c r="G242" s="178">
        <v>130</v>
      </c>
      <c r="H242" s="178">
        <v>18</v>
      </c>
      <c r="I242" s="178">
        <v>1</v>
      </c>
      <c r="J242" s="215">
        <v>0.0424</v>
      </c>
    </row>
    <row r="243" spans="1:10">
      <c r="A243" s="176">
        <v>236</v>
      </c>
      <c r="B243" s="178" t="s">
        <v>38</v>
      </c>
      <c r="C243" s="178" t="s">
        <v>124</v>
      </c>
      <c r="D243" s="178" t="s">
        <v>32</v>
      </c>
      <c r="E243" s="178" t="s">
        <v>115</v>
      </c>
      <c r="F243" s="178">
        <v>500</v>
      </c>
      <c r="G243" s="178">
        <v>130</v>
      </c>
      <c r="H243" s="178">
        <v>18</v>
      </c>
      <c r="I243" s="178">
        <v>1</v>
      </c>
      <c r="J243" s="215">
        <v>0.065</v>
      </c>
    </row>
    <row r="244" spans="1:10">
      <c r="A244" s="176">
        <v>237</v>
      </c>
      <c r="B244" s="178" t="s">
        <v>38</v>
      </c>
      <c r="C244" s="178" t="s">
        <v>126</v>
      </c>
      <c r="D244" s="178" t="s">
        <v>32</v>
      </c>
      <c r="E244" s="178" t="s">
        <v>115</v>
      </c>
      <c r="F244" s="178">
        <v>500</v>
      </c>
      <c r="G244" s="178">
        <v>130</v>
      </c>
      <c r="H244" s="178">
        <v>18</v>
      </c>
      <c r="I244" s="178">
        <v>1</v>
      </c>
      <c r="J244" s="215">
        <v>0.065</v>
      </c>
    </row>
    <row r="245" spans="1:10">
      <c r="A245" s="176">
        <v>238</v>
      </c>
      <c r="B245" s="178" t="s">
        <v>38</v>
      </c>
      <c r="C245" s="178" t="s">
        <v>127</v>
      </c>
      <c r="D245" s="178" t="s">
        <v>32</v>
      </c>
      <c r="E245" s="178" t="s">
        <v>115</v>
      </c>
      <c r="F245" s="178">
        <v>336</v>
      </c>
      <c r="G245" s="178">
        <v>474</v>
      </c>
      <c r="H245" s="178">
        <v>9</v>
      </c>
      <c r="I245" s="178">
        <v>1</v>
      </c>
      <c r="J245" s="215">
        <v>0.1593</v>
      </c>
    </row>
    <row r="246" spans="1:10">
      <c r="A246" s="176">
        <v>239</v>
      </c>
      <c r="B246" s="178" t="s">
        <v>38</v>
      </c>
      <c r="C246" s="178" t="s">
        <v>114</v>
      </c>
      <c r="D246" s="178" t="s">
        <v>32</v>
      </c>
      <c r="E246" s="178" t="s">
        <v>115</v>
      </c>
      <c r="F246" s="178">
        <v>685</v>
      </c>
      <c r="G246" s="178">
        <v>398</v>
      </c>
      <c r="H246" s="178">
        <v>9</v>
      </c>
      <c r="I246" s="178">
        <v>1</v>
      </c>
      <c r="J246" s="215">
        <v>0.2726</v>
      </c>
    </row>
    <row r="247" spans="1:10">
      <c r="A247" s="176">
        <v>240</v>
      </c>
      <c r="B247" s="178" t="s">
        <v>38</v>
      </c>
      <c r="C247" s="178" t="s">
        <v>129</v>
      </c>
      <c r="D247" s="178" t="s">
        <v>32</v>
      </c>
      <c r="E247" s="178" t="s">
        <v>115</v>
      </c>
      <c r="F247" s="178">
        <v>388</v>
      </c>
      <c r="G247" s="178">
        <v>580</v>
      </c>
      <c r="H247" s="178">
        <v>18</v>
      </c>
      <c r="I247" s="178">
        <v>1</v>
      </c>
      <c r="J247" s="215">
        <v>0.225</v>
      </c>
    </row>
    <row r="248" spans="1:10">
      <c r="A248" s="176">
        <v>241</v>
      </c>
      <c r="B248" s="178" t="s">
        <v>38</v>
      </c>
      <c r="C248" s="178" t="s">
        <v>114</v>
      </c>
      <c r="D248" s="178" t="s">
        <v>32</v>
      </c>
      <c r="E248" s="178" t="s">
        <v>115</v>
      </c>
      <c r="F248" s="178">
        <v>439</v>
      </c>
      <c r="G248" s="178">
        <v>398</v>
      </c>
      <c r="H248" s="178">
        <v>9</v>
      </c>
      <c r="I248" s="178">
        <v>1</v>
      </c>
      <c r="J248" s="215">
        <v>0.1747</v>
      </c>
    </row>
    <row r="249" spans="1:10">
      <c r="A249" s="176">
        <v>242</v>
      </c>
      <c r="B249" s="178" t="s">
        <v>38</v>
      </c>
      <c r="C249" s="178" t="s">
        <v>129</v>
      </c>
      <c r="D249" s="178" t="s">
        <v>32</v>
      </c>
      <c r="E249" s="178" t="s">
        <v>115</v>
      </c>
      <c r="F249" s="178">
        <v>388</v>
      </c>
      <c r="G249" s="178">
        <v>575</v>
      </c>
      <c r="H249" s="178">
        <v>18</v>
      </c>
      <c r="I249" s="178">
        <v>1</v>
      </c>
      <c r="J249" s="215">
        <v>0.2231</v>
      </c>
    </row>
    <row r="250" spans="1:10">
      <c r="A250" s="176">
        <v>243</v>
      </c>
      <c r="B250" s="178" t="s">
        <v>38</v>
      </c>
      <c r="C250" s="178" t="s">
        <v>114</v>
      </c>
      <c r="D250" s="178" t="s">
        <v>32</v>
      </c>
      <c r="E250" s="178" t="s">
        <v>115</v>
      </c>
      <c r="F250" s="178">
        <v>439</v>
      </c>
      <c r="G250" s="178">
        <v>398</v>
      </c>
      <c r="H250" s="178">
        <v>9</v>
      </c>
      <c r="I250" s="178">
        <v>1</v>
      </c>
      <c r="J250" s="215">
        <v>0.1747</v>
      </c>
    </row>
    <row r="251" spans="1:10">
      <c r="A251" s="176">
        <v>244</v>
      </c>
      <c r="B251" s="178" t="s">
        <v>38</v>
      </c>
      <c r="C251" s="178" t="s">
        <v>129</v>
      </c>
      <c r="D251" s="178" t="s">
        <v>32</v>
      </c>
      <c r="E251" s="178" t="s">
        <v>115</v>
      </c>
      <c r="F251" s="178">
        <v>388</v>
      </c>
      <c r="G251" s="178">
        <v>575</v>
      </c>
      <c r="H251" s="178">
        <v>18</v>
      </c>
      <c r="I251" s="178">
        <v>1</v>
      </c>
      <c r="J251" s="215">
        <v>0.2231</v>
      </c>
    </row>
    <row r="252" spans="1:10">
      <c r="A252" s="176">
        <v>245</v>
      </c>
      <c r="B252" s="178" t="s">
        <v>38</v>
      </c>
      <c r="C252" s="178" t="s">
        <v>114</v>
      </c>
      <c r="D252" s="178" t="s">
        <v>32</v>
      </c>
      <c r="E252" s="178" t="s">
        <v>115</v>
      </c>
      <c r="F252" s="178">
        <v>439</v>
      </c>
      <c r="G252" s="178">
        <v>398</v>
      </c>
      <c r="H252" s="178">
        <v>9</v>
      </c>
      <c r="I252" s="178">
        <v>1</v>
      </c>
      <c r="J252" s="215">
        <v>0.1747</v>
      </c>
    </row>
    <row r="253" spans="1:10">
      <c r="A253" s="176">
        <v>246</v>
      </c>
      <c r="B253" s="178" t="s">
        <v>38</v>
      </c>
      <c r="C253" s="178" t="s">
        <v>142</v>
      </c>
      <c r="D253" s="178" t="s">
        <v>32</v>
      </c>
      <c r="E253" s="178" t="s">
        <v>115</v>
      </c>
      <c r="F253" s="178">
        <v>388</v>
      </c>
      <c r="G253" s="178">
        <v>580</v>
      </c>
      <c r="H253" s="178">
        <v>18</v>
      </c>
      <c r="I253" s="178">
        <v>1</v>
      </c>
      <c r="J253" s="215">
        <v>0.225</v>
      </c>
    </row>
    <row r="254" spans="1:10">
      <c r="A254" s="176">
        <v>247</v>
      </c>
      <c r="B254" s="178" t="s">
        <v>38</v>
      </c>
      <c r="C254" s="178" t="s">
        <v>145</v>
      </c>
      <c r="D254" s="178" t="s">
        <v>32</v>
      </c>
      <c r="E254" s="178" t="s">
        <v>115</v>
      </c>
      <c r="F254" s="178">
        <v>424</v>
      </c>
      <c r="G254" s="178">
        <v>50</v>
      </c>
      <c r="H254" s="178">
        <v>18</v>
      </c>
      <c r="I254" s="178">
        <v>1</v>
      </c>
      <c r="J254" s="215">
        <v>0.0212</v>
      </c>
    </row>
    <row r="255" spans="1:10">
      <c r="A255" s="176">
        <v>248</v>
      </c>
      <c r="B255" s="178" t="s">
        <v>38</v>
      </c>
      <c r="C255" s="178" t="s">
        <v>146</v>
      </c>
      <c r="D255" s="178" t="s">
        <v>32</v>
      </c>
      <c r="E255" s="178" t="s">
        <v>115</v>
      </c>
      <c r="F255" s="178">
        <v>424</v>
      </c>
      <c r="G255" s="178">
        <v>80</v>
      </c>
      <c r="H255" s="178">
        <v>18</v>
      </c>
      <c r="I255" s="178">
        <v>1</v>
      </c>
      <c r="J255" s="215">
        <v>0.0339</v>
      </c>
    </row>
    <row r="256" spans="1:10">
      <c r="A256" s="176">
        <v>249</v>
      </c>
      <c r="B256" s="178" t="s">
        <v>38</v>
      </c>
      <c r="C256" s="178" t="s">
        <v>223</v>
      </c>
      <c r="D256" s="178" t="s">
        <v>32</v>
      </c>
      <c r="E256" s="178" t="s">
        <v>115</v>
      </c>
      <c r="F256" s="178">
        <v>2112</v>
      </c>
      <c r="G256" s="178">
        <v>580</v>
      </c>
      <c r="H256" s="178">
        <v>18</v>
      </c>
      <c r="I256" s="178">
        <v>1</v>
      </c>
      <c r="J256" s="215">
        <v>1.225</v>
      </c>
    </row>
    <row r="257" spans="1:10">
      <c r="A257" s="176">
        <v>250</v>
      </c>
      <c r="B257" s="178" t="s">
        <v>38</v>
      </c>
      <c r="C257" s="178" t="s">
        <v>31</v>
      </c>
      <c r="D257" s="178" t="s">
        <v>32</v>
      </c>
      <c r="E257" s="178" t="s">
        <v>33</v>
      </c>
      <c r="F257" s="178">
        <v>1387</v>
      </c>
      <c r="G257" s="178">
        <v>421</v>
      </c>
      <c r="H257" s="178">
        <v>18</v>
      </c>
      <c r="I257" s="178">
        <v>1</v>
      </c>
      <c r="J257" s="215">
        <v>0.5839</v>
      </c>
    </row>
    <row r="258" spans="1:10">
      <c r="A258" s="176">
        <v>251</v>
      </c>
      <c r="B258" s="178" t="s">
        <v>558</v>
      </c>
      <c r="C258" s="178" t="s">
        <v>110</v>
      </c>
      <c r="D258" s="178" t="s">
        <v>32</v>
      </c>
      <c r="E258" s="178" t="s">
        <v>115</v>
      </c>
      <c r="F258" s="178">
        <v>2390</v>
      </c>
      <c r="G258" s="178">
        <v>580</v>
      </c>
      <c r="H258" s="178">
        <v>18</v>
      </c>
      <c r="I258" s="178">
        <v>1</v>
      </c>
      <c r="J258" s="215">
        <v>1.3862</v>
      </c>
    </row>
    <row r="259" spans="1:10">
      <c r="A259" s="176">
        <v>252</v>
      </c>
      <c r="B259" s="178" t="s">
        <v>558</v>
      </c>
      <c r="C259" s="178" t="s">
        <v>199</v>
      </c>
      <c r="D259" s="178" t="s">
        <v>32</v>
      </c>
      <c r="E259" s="178" t="s">
        <v>115</v>
      </c>
      <c r="F259" s="178">
        <v>1236</v>
      </c>
      <c r="G259" s="178">
        <v>60</v>
      </c>
      <c r="H259" s="178">
        <v>18</v>
      </c>
      <c r="I259" s="178">
        <v>1</v>
      </c>
      <c r="J259" s="215">
        <v>0.0742</v>
      </c>
    </row>
    <row r="260" spans="1:10">
      <c r="A260" s="176">
        <v>253</v>
      </c>
      <c r="B260" s="178" t="s">
        <v>558</v>
      </c>
      <c r="C260" s="178" t="s">
        <v>327</v>
      </c>
      <c r="D260" s="178" t="s">
        <v>32</v>
      </c>
      <c r="E260" s="178" t="s">
        <v>115</v>
      </c>
      <c r="F260" s="178">
        <v>524</v>
      </c>
      <c r="G260" s="178">
        <v>60</v>
      </c>
      <c r="H260" s="178">
        <v>18</v>
      </c>
      <c r="I260" s="178">
        <v>1</v>
      </c>
      <c r="J260" s="215">
        <v>0.0314</v>
      </c>
    </row>
    <row r="261" spans="1:10">
      <c r="A261" s="176">
        <v>254</v>
      </c>
      <c r="B261" s="178" t="s">
        <v>558</v>
      </c>
      <c r="C261" s="178" t="s">
        <v>327</v>
      </c>
      <c r="D261" s="178" t="s">
        <v>32</v>
      </c>
      <c r="E261" s="178" t="s">
        <v>115</v>
      </c>
      <c r="F261" s="178">
        <v>524</v>
      </c>
      <c r="G261" s="178">
        <v>60</v>
      </c>
      <c r="H261" s="178">
        <v>18</v>
      </c>
      <c r="I261" s="178">
        <v>1</v>
      </c>
      <c r="J261" s="215">
        <v>0.0314</v>
      </c>
    </row>
    <row r="262" spans="1:10">
      <c r="A262" s="176">
        <v>255</v>
      </c>
      <c r="B262" s="178" t="s">
        <v>558</v>
      </c>
      <c r="C262" s="178" t="s">
        <v>199</v>
      </c>
      <c r="D262" s="178" t="s">
        <v>32</v>
      </c>
      <c r="E262" s="178" t="s">
        <v>115</v>
      </c>
      <c r="F262" s="178">
        <v>1236</v>
      </c>
      <c r="G262" s="178">
        <v>60</v>
      </c>
      <c r="H262" s="178">
        <v>18</v>
      </c>
      <c r="I262" s="178">
        <v>1</v>
      </c>
      <c r="J262" s="215">
        <v>0.0742</v>
      </c>
    </row>
    <row r="263" spans="1:10">
      <c r="A263" s="176">
        <v>256</v>
      </c>
      <c r="B263" s="178" t="s">
        <v>558</v>
      </c>
      <c r="C263" s="178" t="s">
        <v>117</v>
      </c>
      <c r="D263" s="178" t="s">
        <v>32</v>
      </c>
      <c r="E263" s="178" t="s">
        <v>115</v>
      </c>
      <c r="F263" s="178">
        <v>1236</v>
      </c>
      <c r="G263" s="178">
        <v>580</v>
      </c>
      <c r="H263" s="178">
        <v>18</v>
      </c>
      <c r="I263" s="178">
        <v>1</v>
      </c>
      <c r="J263" s="215">
        <v>0.7169</v>
      </c>
    </row>
    <row r="264" spans="1:10">
      <c r="A264" s="176">
        <v>257</v>
      </c>
      <c r="B264" s="178" t="s">
        <v>558</v>
      </c>
      <c r="C264" s="178" t="s">
        <v>114</v>
      </c>
      <c r="D264" s="178" t="s">
        <v>32</v>
      </c>
      <c r="E264" s="178" t="s">
        <v>115</v>
      </c>
      <c r="F264" s="178">
        <v>685</v>
      </c>
      <c r="G264" s="178">
        <v>831</v>
      </c>
      <c r="H264" s="178">
        <v>9</v>
      </c>
      <c r="I264" s="178">
        <v>1</v>
      </c>
      <c r="J264" s="215">
        <v>0.5692</v>
      </c>
    </row>
    <row r="265" spans="1:10">
      <c r="A265" s="176">
        <v>258</v>
      </c>
      <c r="B265" s="178" t="s">
        <v>558</v>
      </c>
      <c r="C265" s="178" t="s">
        <v>129</v>
      </c>
      <c r="D265" s="178" t="s">
        <v>32</v>
      </c>
      <c r="E265" s="178" t="s">
        <v>115</v>
      </c>
      <c r="F265" s="178">
        <v>821</v>
      </c>
      <c r="G265" s="178">
        <v>575</v>
      </c>
      <c r="H265" s="178">
        <v>18</v>
      </c>
      <c r="I265" s="178">
        <v>1</v>
      </c>
      <c r="J265" s="215">
        <v>0.4721</v>
      </c>
    </row>
    <row r="266" spans="1:10">
      <c r="A266" s="176">
        <v>259</v>
      </c>
      <c r="B266" s="178" t="s">
        <v>558</v>
      </c>
      <c r="C266" s="178" t="s">
        <v>114</v>
      </c>
      <c r="D266" s="178" t="s">
        <v>32</v>
      </c>
      <c r="E266" s="178" t="s">
        <v>115</v>
      </c>
      <c r="F266" s="178">
        <v>1183</v>
      </c>
      <c r="G266" s="178">
        <v>831</v>
      </c>
      <c r="H266" s="178">
        <v>9</v>
      </c>
      <c r="I266" s="178">
        <v>1</v>
      </c>
      <c r="J266" s="215">
        <v>0.9831</v>
      </c>
    </row>
    <row r="267" spans="1:10">
      <c r="A267" s="176">
        <v>260</v>
      </c>
      <c r="B267" s="178" t="s">
        <v>558</v>
      </c>
      <c r="C267" s="178" t="s">
        <v>180</v>
      </c>
      <c r="D267" s="178" t="s">
        <v>32</v>
      </c>
      <c r="E267" s="178" t="s">
        <v>115</v>
      </c>
      <c r="F267" s="178">
        <v>821</v>
      </c>
      <c r="G267" s="178">
        <v>80</v>
      </c>
      <c r="H267" s="178">
        <v>18</v>
      </c>
      <c r="I267" s="178">
        <v>1</v>
      </c>
      <c r="J267" s="215">
        <v>0.0657</v>
      </c>
    </row>
    <row r="268" spans="1:10">
      <c r="A268" s="176">
        <v>261</v>
      </c>
      <c r="B268" s="178" t="s">
        <v>558</v>
      </c>
      <c r="C268" s="178" t="s">
        <v>129</v>
      </c>
      <c r="D268" s="178" t="s">
        <v>32</v>
      </c>
      <c r="E268" s="178" t="s">
        <v>115</v>
      </c>
      <c r="F268" s="178">
        <v>821</v>
      </c>
      <c r="G268" s="178">
        <v>575</v>
      </c>
      <c r="H268" s="178">
        <v>18</v>
      </c>
      <c r="I268" s="178">
        <v>1</v>
      </c>
      <c r="J268" s="215">
        <v>0.4721</v>
      </c>
    </row>
    <row r="269" spans="1:10">
      <c r="A269" s="176">
        <v>262</v>
      </c>
      <c r="B269" s="178" t="s">
        <v>558</v>
      </c>
      <c r="C269" s="178" t="s">
        <v>114</v>
      </c>
      <c r="D269" s="178" t="s">
        <v>32</v>
      </c>
      <c r="E269" s="178" t="s">
        <v>115</v>
      </c>
      <c r="F269" s="178">
        <v>420</v>
      </c>
      <c r="G269" s="178">
        <v>831</v>
      </c>
      <c r="H269" s="178">
        <v>9</v>
      </c>
      <c r="I269" s="178">
        <v>1</v>
      </c>
      <c r="J269" s="215">
        <v>0.349</v>
      </c>
    </row>
    <row r="270" spans="1:10">
      <c r="A270" s="176">
        <v>263</v>
      </c>
      <c r="B270" s="178" t="s">
        <v>558</v>
      </c>
      <c r="C270" s="178" t="s">
        <v>221</v>
      </c>
      <c r="D270" s="178" t="s">
        <v>32</v>
      </c>
      <c r="E270" s="178" t="s">
        <v>115</v>
      </c>
      <c r="F270" s="178">
        <v>2294</v>
      </c>
      <c r="G270" s="178">
        <v>580</v>
      </c>
      <c r="H270" s="178">
        <v>18</v>
      </c>
      <c r="I270" s="178">
        <v>1</v>
      </c>
      <c r="J270" s="215">
        <v>1.3305</v>
      </c>
    </row>
    <row r="271" spans="1:10">
      <c r="A271" s="176">
        <v>264</v>
      </c>
      <c r="B271" s="178" t="s">
        <v>558</v>
      </c>
      <c r="C271" s="178" t="s">
        <v>114</v>
      </c>
      <c r="D271" s="178" t="s">
        <v>32</v>
      </c>
      <c r="E271" s="178" t="s">
        <v>115</v>
      </c>
      <c r="F271" s="178">
        <v>685</v>
      </c>
      <c r="G271" s="178">
        <v>407</v>
      </c>
      <c r="H271" s="178">
        <v>9</v>
      </c>
      <c r="I271" s="178">
        <v>1</v>
      </c>
      <c r="J271" s="215">
        <v>0.2788</v>
      </c>
    </row>
    <row r="272" spans="1:10">
      <c r="A272" s="176">
        <v>265</v>
      </c>
      <c r="B272" s="178" t="s">
        <v>558</v>
      </c>
      <c r="C272" s="178" t="s">
        <v>129</v>
      </c>
      <c r="D272" s="178" t="s">
        <v>32</v>
      </c>
      <c r="E272" s="178" t="s">
        <v>115</v>
      </c>
      <c r="F272" s="178">
        <v>397</v>
      </c>
      <c r="G272" s="178">
        <v>575</v>
      </c>
      <c r="H272" s="178">
        <v>18</v>
      </c>
      <c r="I272" s="178">
        <v>1</v>
      </c>
      <c r="J272" s="215">
        <v>0.2283</v>
      </c>
    </row>
    <row r="273" spans="1:10">
      <c r="A273" s="176">
        <v>266</v>
      </c>
      <c r="B273" s="178" t="s">
        <v>558</v>
      </c>
      <c r="C273" s="178" t="s">
        <v>114</v>
      </c>
      <c r="D273" s="178" t="s">
        <v>32</v>
      </c>
      <c r="E273" s="178" t="s">
        <v>115</v>
      </c>
      <c r="F273" s="178">
        <v>389</v>
      </c>
      <c r="G273" s="178">
        <v>407</v>
      </c>
      <c r="H273" s="178">
        <v>9</v>
      </c>
      <c r="I273" s="178">
        <v>1</v>
      </c>
      <c r="J273" s="215">
        <v>0.1583</v>
      </c>
    </row>
    <row r="274" spans="1:10">
      <c r="A274" s="176">
        <v>267</v>
      </c>
      <c r="B274" s="178" t="s">
        <v>558</v>
      </c>
      <c r="C274" s="178" t="s">
        <v>129</v>
      </c>
      <c r="D274" s="178" t="s">
        <v>32</v>
      </c>
      <c r="E274" s="178" t="s">
        <v>115</v>
      </c>
      <c r="F274" s="178">
        <v>397</v>
      </c>
      <c r="G274" s="178">
        <v>575</v>
      </c>
      <c r="H274" s="178">
        <v>18</v>
      </c>
      <c r="I274" s="178">
        <v>1</v>
      </c>
      <c r="J274" s="215">
        <v>0.2283</v>
      </c>
    </row>
    <row r="275" spans="1:10">
      <c r="A275" s="176">
        <v>268</v>
      </c>
      <c r="B275" s="178" t="s">
        <v>558</v>
      </c>
      <c r="C275" s="178" t="s">
        <v>114</v>
      </c>
      <c r="D275" s="178" t="s">
        <v>32</v>
      </c>
      <c r="E275" s="178" t="s">
        <v>115</v>
      </c>
      <c r="F275" s="178">
        <v>389</v>
      </c>
      <c r="G275" s="178">
        <v>407</v>
      </c>
      <c r="H275" s="178">
        <v>9</v>
      </c>
      <c r="I275" s="178">
        <v>1</v>
      </c>
      <c r="J275" s="215">
        <v>0.1583</v>
      </c>
    </row>
    <row r="276" spans="1:10">
      <c r="A276" s="176">
        <v>269</v>
      </c>
      <c r="B276" s="178" t="s">
        <v>558</v>
      </c>
      <c r="C276" s="178" t="s">
        <v>129</v>
      </c>
      <c r="D276" s="178" t="s">
        <v>32</v>
      </c>
      <c r="E276" s="178" t="s">
        <v>115</v>
      </c>
      <c r="F276" s="178">
        <v>397</v>
      </c>
      <c r="G276" s="178">
        <v>575</v>
      </c>
      <c r="H276" s="178">
        <v>18</v>
      </c>
      <c r="I276" s="178">
        <v>1</v>
      </c>
      <c r="J276" s="215">
        <v>0.2283</v>
      </c>
    </row>
    <row r="277" spans="1:10">
      <c r="A277" s="176">
        <v>270</v>
      </c>
      <c r="B277" s="178" t="s">
        <v>558</v>
      </c>
      <c r="C277" s="178" t="s">
        <v>114</v>
      </c>
      <c r="D277" s="178" t="s">
        <v>32</v>
      </c>
      <c r="E277" s="178" t="s">
        <v>115</v>
      </c>
      <c r="F277" s="178">
        <v>389</v>
      </c>
      <c r="G277" s="178">
        <v>407</v>
      </c>
      <c r="H277" s="178">
        <v>9</v>
      </c>
      <c r="I277" s="178">
        <v>1</v>
      </c>
      <c r="J277" s="215">
        <v>0.1583</v>
      </c>
    </row>
    <row r="278" spans="1:10">
      <c r="A278" s="176">
        <v>271</v>
      </c>
      <c r="B278" s="178" t="s">
        <v>558</v>
      </c>
      <c r="C278" s="178" t="s">
        <v>129</v>
      </c>
      <c r="D278" s="178" t="s">
        <v>32</v>
      </c>
      <c r="E278" s="178" t="s">
        <v>115</v>
      </c>
      <c r="F278" s="178">
        <v>397</v>
      </c>
      <c r="G278" s="178">
        <v>575</v>
      </c>
      <c r="H278" s="178">
        <v>18</v>
      </c>
      <c r="I278" s="178">
        <v>1</v>
      </c>
      <c r="J278" s="215">
        <v>0.2283</v>
      </c>
    </row>
    <row r="279" spans="1:10">
      <c r="A279" s="176">
        <v>272</v>
      </c>
      <c r="B279" s="178" t="s">
        <v>558</v>
      </c>
      <c r="C279" s="178" t="s">
        <v>114</v>
      </c>
      <c r="D279" s="178" t="s">
        <v>32</v>
      </c>
      <c r="E279" s="178" t="s">
        <v>115</v>
      </c>
      <c r="F279" s="178">
        <v>420</v>
      </c>
      <c r="G279" s="178">
        <v>407</v>
      </c>
      <c r="H279" s="178">
        <v>9</v>
      </c>
      <c r="I279" s="178">
        <v>1</v>
      </c>
      <c r="J279" s="215">
        <v>0.1709</v>
      </c>
    </row>
    <row r="280" spans="1:10">
      <c r="A280" s="176">
        <v>273</v>
      </c>
      <c r="B280" s="178" t="s">
        <v>558</v>
      </c>
      <c r="C280" s="178" t="s">
        <v>142</v>
      </c>
      <c r="D280" s="178" t="s">
        <v>32</v>
      </c>
      <c r="E280" s="178" t="s">
        <v>115</v>
      </c>
      <c r="F280" s="178">
        <v>1236</v>
      </c>
      <c r="G280" s="178">
        <v>580</v>
      </c>
      <c r="H280" s="178">
        <v>18</v>
      </c>
      <c r="I280" s="178">
        <v>1</v>
      </c>
      <c r="J280" s="215">
        <v>0.7169</v>
      </c>
    </row>
    <row r="281" spans="1:10">
      <c r="A281" s="176">
        <v>274</v>
      </c>
      <c r="B281" s="178" t="s">
        <v>558</v>
      </c>
      <c r="C281" s="178" t="s">
        <v>223</v>
      </c>
      <c r="D281" s="178" t="s">
        <v>32</v>
      </c>
      <c r="E281" s="178" t="s">
        <v>115</v>
      </c>
      <c r="F281" s="178">
        <v>2390</v>
      </c>
      <c r="G281" s="178">
        <v>580</v>
      </c>
      <c r="H281" s="178">
        <v>18</v>
      </c>
      <c r="I281" s="178">
        <v>1</v>
      </c>
      <c r="J281" s="215">
        <v>1.3862</v>
      </c>
    </row>
    <row r="282" spans="1:10">
      <c r="A282" s="176">
        <v>275</v>
      </c>
      <c r="B282" s="178" t="s">
        <v>558</v>
      </c>
      <c r="C282" s="178" t="s">
        <v>145</v>
      </c>
      <c r="D282" s="178" t="s">
        <v>32</v>
      </c>
      <c r="E282" s="178" t="s">
        <v>115</v>
      </c>
      <c r="F282" s="178">
        <v>1272</v>
      </c>
      <c r="G282" s="178">
        <v>50</v>
      </c>
      <c r="H282" s="178">
        <v>18</v>
      </c>
      <c r="I282" s="178">
        <v>1</v>
      </c>
      <c r="J282" s="215">
        <v>0.0636</v>
      </c>
    </row>
    <row r="283" spans="1:10">
      <c r="A283" s="176">
        <v>276</v>
      </c>
      <c r="B283" s="178" t="s">
        <v>558</v>
      </c>
      <c r="C283" s="178" t="s">
        <v>146</v>
      </c>
      <c r="D283" s="178" t="s">
        <v>32</v>
      </c>
      <c r="E283" s="178" t="s">
        <v>115</v>
      </c>
      <c r="F283" s="178">
        <v>1272</v>
      </c>
      <c r="G283" s="178">
        <v>80</v>
      </c>
      <c r="H283" s="178">
        <v>18</v>
      </c>
      <c r="I283" s="178">
        <v>1</v>
      </c>
      <c r="J283" s="215">
        <v>0.1018</v>
      </c>
    </row>
    <row r="284" spans="1:10">
      <c r="A284" s="176">
        <v>277</v>
      </c>
      <c r="B284" s="178" t="s">
        <v>558</v>
      </c>
      <c r="C284" s="178" t="s">
        <v>31</v>
      </c>
      <c r="D284" s="178" t="s">
        <v>32</v>
      </c>
      <c r="E284" s="178" t="s">
        <v>111</v>
      </c>
      <c r="F284" s="178">
        <v>1665</v>
      </c>
      <c r="G284" s="178">
        <v>421</v>
      </c>
      <c r="H284" s="178">
        <v>18</v>
      </c>
      <c r="I284" s="178">
        <v>1</v>
      </c>
      <c r="J284" s="215">
        <v>0.701</v>
      </c>
    </row>
    <row r="285" spans="1:10">
      <c r="A285" s="176">
        <v>278</v>
      </c>
      <c r="B285" s="178" t="s">
        <v>558</v>
      </c>
      <c r="C285" s="178" t="s">
        <v>35</v>
      </c>
      <c r="D285" s="178" t="s">
        <v>32</v>
      </c>
      <c r="E285" s="178" t="s">
        <v>111</v>
      </c>
      <c r="F285" s="178">
        <v>1665</v>
      </c>
      <c r="G285" s="178">
        <v>421</v>
      </c>
      <c r="H285" s="178">
        <v>18</v>
      </c>
      <c r="I285" s="178">
        <v>1</v>
      </c>
      <c r="J285" s="215">
        <v>0.701</v>
      </c>
    </row>
    <row r="286" spans="1:10">
      <c r="A286" s="176">
        <v>279</v>
      </c>
      <c r="B286" s="178" t="s">
        <v>558</v>
      </c>
      <c r="C286" s="178" t="s">
        <v>31</v>
      </c>
      <c r="D286" s="178" t="s">
        <v>32</v>
      </c>
      <c r="E286" s="178" t="s">
        <v>111</v>
      </c>
      <c r="F286" s="178">
        <v>739</v>
      </c>
      <c r="G286" s="178">
        <v>421</v>
      </c>
      <c r="H286" s="178">
        <v>18</v>
      </c>
      <c r="I286" s="178">
        <v>1</v>
      </c>
      <c r="J286" s="215">
        <v>0.3111</v>
      </c>
    </row>
    <row r="287" spans="1:10">
      <c r="A287" s="176">
        <v>280</v>
      </c>
      <c r="B287" s="178" t="s">
        <v>558</v>
      </c>
      <c r="C287" s="178" t="s">
        <v>35</v>
      </c>
      <c r="D287" s="178" t="s">
        <v>32</v>
      </c>
      <c r="E287" s="178" t="s">
        <v>111</v>
      </c>
      <c r="F287" s="178">
        <v>739</v>
      </c>
      <c r="G287" s="178">
        <v>421</v>
      </c>
      <c r="H287" s="178">
        <v>18</v>
      </c>
      <c r="I287" s="178">
        <v>1</v>
      </c>
      <c r="J287" s="215">
        <v>0.3111</v>
      </c>
    </row>
    <row r="288" spans="1:10">
      <c r="A288" s="176">
        <v>281</v>
      </c>
      <c r="B288" s="178" t="s">
        <v>558</v>
      </c>
      <c r="C288" s="178" t="s">
        <v>31</v>
      </c>
      <c r="D288" s="178" t="s">
        <v>32</v>
      </c>
      <c r="E288" s="178" t="s">
        <v>111</v>
      </c>
      <c r="F288" s="178">
        <v>739</v>
      </c>
      <c r="G288" s="178">
        <v>421</v>
      </c>
      <c r="H288" s="178">
        <v>18</v>
      </c>
      <c r="I288" s="178">
        <v>1</v>
      </c>
      <c r="J288" s="215">
        <v>0.3111</v>
      </c>
    </row>
    <row r="289" spans="1:10">
      <c r="A289" s="176">
        <v>282</v>
      </c>
      <c r="B289" s="178" t="s">
        <v>558</v>
      </c>
      <c r="C289" s="178" t="s">
        <v>31</v>
      </c>
      <c r="D289" s="178" t="s">
        <v>32</v>
      </c>
      <c r="E289" s="178" t="s">
        <v>111</v>
      </c>
      <c r="F289" s="178">
        <v>1665</v>
      </c>
      <c r="G289" s="178">
        <v>421</v>
      </c>
      <c r="H289" s="178">
        <v>18</v>
      </c>
      <c r="I289" s="178">
        <v>1</v>
      </c>
      <c r="J289" s="215">
        <v>0.701</v>
      </c>
    </row>
    <row r="290" spans="1:10">
      <c r="A290" s="176">
        <v>283</v>
      </c>
      <c r="B290" s="178" t="s">
        <v>559</v>
      </c>
      <c r="C290" s="178" t="s">
        <v>110</v>
      </c>
      <c r="D290" s="178" t="s">
        <v>32</v>
      </c>
      <c r="E290" s="178" t="s">
        <v>115</v>
      </c>
      <c r="F290" s="178">
        <v>2390</v>
      </c>
      <c r="G290" s="178">
        <v>580</v>
      </c>
      <c r="H290" s="178">
        <v>18</v>
      </c>
      <c r="I290" s="178">
        <v>1</v>
      </c>
      <c r="J290" s="215">
        <v>1.3862</v>
      </c>
    </row>
    <row r="291" spans="1:10">
      <c r="A291" s="176">
        <v>284</v>
      </c>
      <c r="B291" s="178" t="s">
        <v>559</v>
      </c>
      <c r="C291" s="178" t="s">
        <v>199</v>
      </c>
      <c r="D291" s="178" t="s">
        <v>32</v>
      </c>
      <c r="E291" s="178" t="s">
        <v>115</v>
      </c>
      <c r="F291" s="178">
        <v>988</v>
      </c>
      <c r="G291" s="178">
        <v>60</v>
      </c>
      <c r="H291" s="178">
        <v>18</v>
      </c>
      <c r="I291" s="178">
        <v>1</v>
      </c>
      <c r="J291" s="215">
        <v>0.0593</v>
      </c>
    </row>
    <row r="292" spans="1:10">
      <c r="A292" s="176">
        <v>285</v>
      </c>
      <c r="B292" s="178" t="s">
        <v>559</v>
      </c>
      <c r="C292" s="178" t="s">
        <v>327</v>
      </c>
      <c r="D292" s="178" t="s">
        <v>32</v>
      </c>
      <c r="E292" s="178" t="s">
        <v>115</v>
      </c>
      <c r="F292" s="178">
        <v>524</v>
      </c>
      <c r="G292" s="178">
        <v>60</v>
      </c>
      <c r="H292" s="178">
        <v>18</v>
      </c>
      <c r="I292" s="178">
        <v>1</v>
      </c>
      <c r="J292" s="215">
        <v>0.0314</v>
      </c>
    </row>
    <row r="293" spans="1:10">
      <c r="A293" s="176">
        <v>286</v>
      </c>
      <c r="B293" s="178" t="s">
        <v>559</v>
      </c>
      <c r="C293" s="178" t="s">
        <v>199</v>
      </c>
      <c r="D293" s="178" t="s">
        <v>32</v>
      </c>
      <c r="E293" s="178" t="s">
        <v>115</v>
      </c>
      <c r="F293" s="178">
        <v>988</v>
      </c>
      <c r="G293" s="178">
        <v>60</v>
      </c>
      <c r="H293" s="178">
        <v>18</v>
      </c>
      <c r="I293" s="178">
        <v>1</v>
      </c>
      <c r="J293" s="215">
        <v>0.0593</v>
      </c>
    </row>
    <row r="294" spans="1:10">
      <c r="A294" s="176">
        <v>287</v>
      </c>
      <c r="B294" s="178" t="s">
        <v>559</v>
      </c>
      <c r="C294" s="178" t="s">
        <v>117</v>
      </c>
      <c r="D294" s="178" t="s">
        <v>32</v>
      </c>
      <c r="E294" s="178" t="s">
        <v>115</v>
      </c>
      <c r="F294" s="178">
        <v>988</v>
      </c>
      <c r="G294" s="178">
        <v>580</v>
      </c>
      <c r="H294" s="178">
        <v>18</v>
      </c>
      <c r="I294" s="178">
        <v>1</v>
      </c>
      <c r="J294" s="215">
        <v>0.573</v>
      </c>
    </row>
    <row r="295" spans="1:10">
      <c r="A295" s="176">
        <v>288</v>
      </c>
      <c r="B295" s="178" t="s">
        <v>559</v>
      </c>
      <c r="C295" s="178" t="s">
        <v>221</v>
      </c>
      <c r="D295" s="178" t="s">
        <v>32</v>
      </c>
      <c r="E295" s="178" t="s">
        <v>115</v>
      </c>
      <c r="F295" s="178">
        <v>2294</v>
      </c>
      <c r="G295" s="178">
        <v>80</v>
      </c>
      <c r="H295" s="178">
        <v>18</v>
      </c>
      <c r="I295" s="178">
        <v>1</v>
      </c>
      <c r="J295" s="215">
        <v>0.1835</v>
      </c>
    </row>
    <row r="296" spans="1:10">
      <c r="A296" s="176">
        <v>289</v>
      </c>
      <c r="B296" s="178" t="s">
        <v>559</v>
      </c>
      <c r="C296" s="178" t="s">
        <v>131</v>
      </c>
      <c r="D296" s="178" t="s">
        <v>32</v>
      </c>
      <c r="E296" s="178" t="s">
        <v>111</v>
      </c>
      <c r="F296" s="178">
        <v>762</v>
      </c>
      <c r="G296" s="178">
        <v>100</v>
      </c>
      <c r="H296" s="178">
        <v>18</v>
      </c>
      <c r="I296" s="178">
        <v>1</v>
      </c>
      <c r="J296" s="215">
        <v>0.0762</v>
      </c>
    </row>
    <row r="297" spans="1:10">
      <c r="A297" s="176">
        <v>290</v>
      </c>
      <c r="B297" s="178" t="s">
        <v>559</v>
      </c>
      <c r="C297" s="178" t="s">
        <v>114</v>
      </c>
      <c r="D297" s="178" t="s">
        <v>32</v>
      </c>
      <c r="E297" s="178" t="s">
        <v>115</v>
      </c>
      <c r="F297" s="178">
        <v>932</v>
      </c>
      <c r="G297" s="178">
        <v>998</v>
      </c>
      <c r="H297" s="178">
        <v>9</v>
      </c>
      <c r="I297" s="178">
        <v>1</v>
      </c>
      <c r="J297" s="215">
        <v>0.9301</v>
      </c>
    </row>
    <row r="298" spans="1:10">
      <c r="A298" s="176">
        <v>291</v>
      </c>
      <c r="B298" s="178" t="s">
        <v>559</v>
      </c>
      <c r="C298" s="178" t="s">
        <v>180</v>
      </c>
      <c r="D298" s="178" t="s">
        <v>32</v>
      </c>
      <c r="E298" s="178" t="s">
        <v>115</v>
      </c>
      <c r="F298" s="178">
        <v>988</v>
      </c>
      <c r="G298" s="178">
        <v>80</v>
      </c>
      <c r="H298" s="178">
        <v>18</v>
      </c>
      <c r="I298" s="178">
        <v>1</v>
      </c>
      <c r="J298" s="215">
        <v>0.079</v>
      </c>
    </row>
    <row r="299" spans="1:10">
      <c r="A299" s="176">
        <v>292</v>
      </c>
      <c r="B299" s="178" t="s">
        <v>559</v>
      </c>
      <c r="C299" s="178" t="s">
        <v>129</v>
      </c>
      <c r="D299" s="178" t="s">
        <v>32</v>
      </c>
      <c r="E299" s="178" t="s">
        <v>115</v>
      </c>
      <c r="F299" s="178">
        <v>988</v>
      </c>
      <c r="G299" s="178">
        <v>560</v>
      </c>
      <c r="H299" s="178">
        <v>18</v>
      </c>
      <c r="I299" s="178">
        <v>1</v>
      </c>
      <c r="J299" s="215">
        <v>0.5533</v>
      </c>
    </row>
    <row r="300" spans="1:10">
      <c r="A300" s="176">
        <v>293</v>
      </c>
      <c r="B300" s="178" t="s">
        <v>559</v>
      </c>
      <c r="C300" s="178" t="s">
        <v>131</v>
      </c>
      <c r="D300" s="178" t="s">
        <v>32</v>
      </c>
      <c r="E300" s="178" t="s">
        <v>115</v>
      </c>
      <c r="F300" s="178">
        <v>2294</v>
      </c>
      <c r="G300" s="178">
        <v>582</v>
      </c>
      <c r="H300" s="178">
        <v>18</v>
      </c>
      <c r="I300" s="178">
        <v>1</v>
      </c>
      <c r="J300" s="215">
        <v>1.3351</v>
      </c>
    </row>
    <row r="301" spans="1:10">
      <c r="A301" s="176">
        <v>294</v>
      </c>
      <c r="B301" s="178" t="s">
        <v>559</v>
      </c>
      <c r="C301" s="178" t="s">
        <v>114</v>
      </c>
      <c r="D301" s="178" t="s">
        <v>32</v>
      </c>
      <c r="E301" s="178" t="s">
        <v>115</v>
      </c>
      <c r="F301" s="178">
        <v>936</v>
      </c>
      <c r="G301" s="178">
        <v>998</v>
      </c>
      <c r="H301" s="178">
        <v>9</v>
      </c>
      <c r="I301" s="178">
        <v>1</v>
      </c>
      <c r="J301" s="215">
        <v>0.9341</v>
      </c>
    </row>
    <row r="302" spans="1:10">
      <c r="A302" s="176">
        <v>295</v>
      </c>
      <c r="B302" s="178" t="s">
        <v>559</v>
      </c>
      <c r="C302" s="178" t="s">
        <v>180</v>
      </c>
      <c r="D302" s="178" t="s">
        <v>32</v>
      </c>
      <c r="E302" s="178" t="s">
        <v>115</v>
      </c>
      <c r="F302" s="178">
        <v>988</v>
      </c>
      <c r="G302" s="178">
        <v>80</v>
      </c>
      <c r="H302" s="178">
        <v>18</v>
      </c>
      <c r="I302" s="178">
        <v>1</v>
      </c>
      <c r="J302" s="215">
        <v>0.079</v>
      </c>
    </row>
    <row r="303" spans="1:10">
      <c r="A303" s="176">
        <v>296</v>
      </c>
      <c r="B303" s="178" t="s">
        <v>559</v>
      </c>
      <c r="C303" s="178" t="s">
        <v>129</v>
      </c>
      <c r="D303" s="178" t="s">
        <v>32</v>
      </c>
      <c r="E303" s="178" t="s">
        <v>115</v>
      </c>
      <c r="F303" s="178">
        <v>988</v>
      </c>
      <c r="G303" s="178">
        <v>560</v>
      </c>
      <c r="H303" s="178">
        <v>18</v>
      </c>
      <c r="I303" s="178">
        <v>1</v>
      </c>
      <c r="J303" s="215">
        <v>0.5533</v>
      </c>
    </row>
    <row r="304" spans="1:10">
      <c r="A304" s="176">
        <v>297</v>
      </c>
      <c r="B304" s="178" t="s">
        <v>559</v>
      </c>
      <c r="C304" s="178" t="s">
        <v>131</v>
      </c>
      <c r="D304" s="178" t="s">
        <v>32</v>
      </c>
      <c r="E304" s="178" t="s">
        <v>111</v>
      </c>
      <c r="F304" s="178">
        <v>1678</v>
      </c>
      <c r="G304" s="178">
        <v>100</v>
      </c>
      <c r="H304" s="178">
        <v>18</v>
      </c>
      <c r="I304" s="178">
        <v>1</v>
      </c>
      <c r="J304" s="215">
        <v>0.1678</v>
      </c>
    </row>
    <row r="305" spans="1:10">
      <c r="A305" s="176">
        <v>298</v>
      </c>
      <c r="B305" s="178" t="s">
        <v>559</v>
      </c>
      <c r="C305" s="178" t="s">
        <v>114</v>
      </c>
      <c r="D305" s="178" t="s">
        <v>32</v>
      </c>
      <c r="E305" s="178" t="s">
        <v>115</v>
      </c>
      <c r="F305" s="178">
        <v>420</v>
      </c>
      <c r="G305" s="178">
        <v>998</v>
      </c>
      <c r="H305" s="178">
        <v>9</v>
      </c>
      <c r="I305" s="178">
        <v>1</v>
      </c>
      <c r="J305" s="215">
        <v>0.4192</v>
      </c>
    </row>
    <row r="306" spans="1:10">
      <c r="A306" s="176">
        <v>299</v>
      </c>
      <c r="B306" s="178" t="s">
        <v>559</v>
      </c>
      <c r="C306" s="178" t="s">
        <v>142</v>
      </c>
      <c r="D306" s="178" t="s">
        <v>32</v>
      </c>
      <c r="E306" s="178" t="s">
        <v>115</v>
      </c>
      <c r="F306" s="178">
        <v>988</v>
      </c>
      <c r="G306" s="178">
        <v>580</v>
      </c>
      <c r="H306" s="178">
        <v>18</v>
      </c>
      <c r="I306" s="178">
        <v>1</v>
      </c>
      <c r="J306" s="215">
        <v>0.573</v>
      </c>
    </row>
    <row r="307" spans="1:10">
      <c r="A307" s="176">
        <v>300</v>
      </c>
      <c r="B307" s="178" t="s">
        <v>559</v>
      </c>
      <c r="C307" s="178" t="s">
        <v>223</v>
      </c>
      <c r="D307" s="178" t="s">
        <v>32</v>
      </c>
      <c r="E307" s="178" t="s">
        <v>115</v>
      </c>
      <c r="F307" s="178">
        <v>2390</v>
      </c>
      <c r="G307" s="178">
        <v>580</v>
      </c>
      <c r="H307" s="178">
        <v>18</v>
      </c>
      <c r="I307" s="178">
        <v>1</v>
      </c>
      <c r="J307" s="215">
        <v>1.3862</v>
      </c>
    </row>
    <row r="308" spans="1:10">
      <c r="A308" s="176">
        <v>301</v>
      </c>
      <c r="B308" s="178" t="s">
        <v>559</v>
      </c>
      <c r="C308" s="178" t="s">
        <v>145</v>
      </c>
      <c r="D308" s="178" t="s">
        <v>32</v>
      </c>
      <c r="E308" s="178" t="s">
        <v>115</v>
      </c>
      <c r="F308" s="178">
        <v>1024</v>
      </c>
      <c r="G308" s="178">
        <v>50</v>
      </c>
      <c r="H308" s="178">
        <v>18</v>
      </c>
      <c r="I308" s="178">
        <v>1</v>
      </c>
      <c r="J308" s="215">
        <v>0.0512</v>
      </c>
    </row>
    <row r="309" spans="1:10">
      <c r="A309" s="176">
        <v>302</v>
      </c>
      <c r="B309" s="178" t="s">
        <v>559</v>
      </c>
      <c r="C309" s="178" t="s">
        <v>146</v>
      </c>
      <c r="D309" s="178" t="s">
        <v>32</v>
      </c>
      <c r="E309" s="178" t="s">
        <v>115</v>
      </c>
      <c r="F309" s="178">
        <v>1024</v>
      </c>
      <c r="G309" s="178">
        <v>80</v>
      </c>
      <c r="H309" s="178">
        <v>18</v>
      </c>
      <c r="I309" s="178">
        <v>1</v>
      </c>
      <c r="J309" s="215">
        <v>0.0819</v>
      </c>
    </row>
    <row r="310" spans="1:10">
      <c r="A310" s="176">
        <v>303</v>
      </c>
      <c r="B310" s="178" t="s">
        <v>559</v>
      </c>
      <c r="C310" s="178" t="s">
        <v>35</v>
      </c>
      <c r="D310" s="178" t="s">
        <v>32</v>
      </c>
      <c r="E310" s="178" t="s">
        <v>111</v>
      </c>
      <c r="F310" s="178">
        <v>1665</v>
      </c>
      <c r="G310" s="178">
        <v>421</v>
      </c>
      <c r="H310" s="178">
        <v>18</v>
      </c>
      <c r="I310" s="178">
        <v>1</v>
      </c>
      <c r="J310" s="215">
        <v>0.701</v>
      </c>
    </row>
    <row r="311" spans="1:10">
      <c r="A311" s="176">
        <v>304</v>
      </c>
      <c r="B311" s="178" t="s">
        <v>559</v>
      </c>
      <c r="C311" s="178" t="s">
        <v>35</v>
      </c>
      <c r="D311" s="178" t="s">
        <v>32</v>
      </c>
      <c r="E311" s="178" t="s">
        <v>111</v>
      </c>
      <c r="F311" s="178">
        <v>739</v>
      </c>
      <c r="G311" s="178">
        <v>421</v>
      </c>
      <c r="H311" s="178">
        <v>18</v>
      </c>
      <c r="I311" s="178">
        <v>1</v>
      </c>
      <c r="J311" s="215">
        <v>0.3111</v>
      </c>
    </row>
    <row r="312" spans="1:10">
      <c r="A312" s="176">
        <v>305</v>
      </c>
      <c r="B312" s="178" t="s">
        <v>560</v>
      </c>
      <c r="C312" s="178" t="s">
        <v>361</v>
      </c>
      <c r="D312" s="178" t="s">
        <v>32</v>
      </c>
      <c r="E312" s="178" t="s">
        <v>111</v>
      </c>
      <c r="F312" s="178">
        <v>120</v>
      </c>
      <c r="G312" s="178">
        <v>290</v>
      </c>
      <c r="H312" s="178">
        <v>18</v>
      </c>
      <c r="I312" s="178">
        <v>1</v>
      </c>
      <c r="J312" s="215">
        <v>0.0348</v>
      </c>
    </row>
    <row r="313" spans="1:10">
      <c r="A313" s="176">
        <v>306</v>
      </c>
      <c r="B313" s="178" t="s">
        <v>560</v>
      </c>
      <c r="C313" s="178" t="s">
        <v>361</v>
      </c>
      <c r="D313" s="178" t="s">
        <v>32</v>
      </c>
      <c r="E313" s="178" t="s">
        <v>115</v>
      </c>
      <c r="F313" s="178">
        <v>100</v>
      </c>
      <c r="G313" s="178">
        <v>2400</v>
      </c>
      <c r="H313" s="178">
        <v>18</v>
      </c>
      <c r="I313" s="178">
        <v>1</v>
      </c>
      <c r="J313" s="215">
        <v>0.24</v>
      </c>
    </row>
    <row r="314" spans="1:10">
      <c r="A314" s="176">
        <v>307</v>
      </c>
      <c r="B314" s="178" t="s">
        <v>560</v>
      </c>
      <c r="C314" s="178" t="s">
        <v>361</v>
      </c>
      <c r="D314" s="178" t="s">
        <v>32</v>
      </c>
      <c r="E314" s="178" t="s">
        <v>111</v>
      </c>
      <c r="F314" s="178">
        <v>100</v>
      </c>
      <c r="G314" s="178">
        <v>2400</v>
      </c>
      <c r="H314" s="178">
        <v>18</v>
      </c>
      <c r="I314" s="178">
        <v>1</v>
      </c>
      <c r="J314" s="215">
        <v>0.24</v>
      </c>
    </row>
    <row r="315" spans="1:10">
      <c r="A315" s="176">
        <v>308</v>
      </c>
      <c r="B315" s="178" t="s">
        <v>560</v>
      </c>
      <c r="C315" s="178" t="s">
        <v>361</v>
      </c>
      <c r="D315" s="178" t="s">
        <v>32</v>
      </c>
      <c r="E315" s="178" t="s">
        <v>115</v>
      </c>
      <c r="F315" s="178">
        <v>100</v>
      </c>
      <c r="G315" s="178">
        <v>2400</v>
      </c>
      <c r="H315" s="178">
        <v>18</v>
      </c>
      <c r="I315" s="178">
        <v>1</v>
      </c>
      <c r="J315" s="215">
        <v>0.24</v>
      </c>
    </row>
    <row r="316" spans="1:10">
      <c r="A316" s="176">
        <v>309</v>
      </c>
      <c r="B316" s="178" t="s">
        <v>40</v>
      </c>
      <c r="C316" s="178" t="s">
        <v>131</v>
      </c>
      <c r="D316" s="178" t="s">
        <v>32</v>
      </c>
      <c r="E316" s="178" t="s">
        <v>111</v>
      </c>
      <c r="F316" s="178">
        <v>2440</v>
      </c>
      <c r="G316" s="178">
        <v>50</v>
      </c>
      <c r="H316" s="178">
        <v>18</v>
      </c>
      <c r="I316" s="178">
        <v>1</v>
      </c>
      <c r="J316" s="215">
        <v>0.122</v>
      </c>
    </row>
    <row r="317" spans="1:10">
      <c r="A317" s="176">
        <v>310</v>
      </c>
      <c r="B317" s="178" t="s">
        <v>40</v>
      </c>
      <c r="C317" s="178" t="s">
        <v>110</v>
      </c>
      <c r="D317" s="178" t="s">
        <v>32</v>
      </c>
      <c r="E317" s="178" t="s">
        <v>115</v>
      </c>
      <c r="F317" s="178">
        <v>2390</v>
      </c>
      <c r="G317" s="178">
        <v>580</v>
      </c>
      <c r="H317" s="178">
        <v>18</v>
      </c>
      <c r="I317" s="178">
        <v>1</v>
      </c>
      <c r="J317" s="215">
        <v>1.3862</v>
      </c>
    </row>
    <row r="318" spans="1:10">
      <c r="A318" s="176">
        <v>311</v>
      </c>
      <c r="B318" s="178" t="s">
        <v>40</v>
      </c>
      <c r="C318" s="178" t="s">
        <v>199</v>
      </c>
      <c r="D318" s="178" t="s">
        <v>32</v>
      </c>
      <c r="E318" s="178" t="s">
        <v>115</v>
      </c>
      <c r="F318" s="178">
        <v>1439</v>
      </c>
      <c r="G318" s="178">
        <v>60</v>
      </c>
      <c r="H318" s="178">
        <v>18</v>
      </c>
      <c r="I318" s="178">
        <v>1</v>
      </c>
      <c r="J318" s="215">
        <v>0.0863</v>
      </c>
    </row>
    <row r="319" spans="1:10">
      <c r="A319" s="176">
        <v>312</v>
      </c>
      <c r="B319" s="178" t="s">
        <v>40</v>
      </c>
      <c r="C319" s="178" t="s">
        <v>327</v>
      </c>
      <c r="D319" s="178" t="s">
        <v>32</v>
      </c>
      <c r="E319" s="178" t="s">
        <v>115</v>
      </c>
      <c r="F319" s="178">
        <v>524</v>
      </c>
      <c r="G319" s="178">
        <v>60</v>
      </c>
      <c r="H319" s="178">
        <v>18</v>
      </c>
      <c r="I319" s="178">
        <v>1</v>
      </c>
      <c r="J319" s="215">
        <v>0.0314</v>
      </c>
    </row>
    <row r="320" spans="1:10">
      <c r="A320" s="176">
        <v>313</v>
      </c>
      <c r="B320" s="178" t="s">
        <v>40</v>
      </c>
      <c r="C320" s="178" t="s">
        <v>327</v>
      </c>
      <c r="D320" s="178" t="s">
        <v>32</v>
      </c>
      <c r="E320" s="178" t="s">
        <v>115</v>
      </c>
      <c r="F320" s="178">
        <v>524</v>
      </c>
      <c r="G320" s="178">
        <v>60</v>
      </c>
      <c r="H320" s="178">
        <v>18</v>
      </c>
      <c r="I320" s="178">
        <v>1</v>
      </c>
      <c r="J320" s="215">
        <v>0.0314</v>
      </c>
    </row>
    <row r="321" spans="1:10">
      <c r="A321" s="176">
        <v>314</v>
      </c>
      <c r="B321" s="178" t="s">
        <v>40</v>
      </c>
      <c r="C321" s="178" t="s">
        <v>199</v>
      </c>
      <c r="D321" s="178" t="s">
        <v>32</v>
      </c>
      <c r="E321" s="178" t="s">
        <v>115</v>
      </c>
      <c r="F321" s="178">
        <v>1439</v>
      </c>
      <c r="G321" s="178">
        <v>60</v>
      </c>
      <c r="H321" s="178">
        <v>18</v>
      </c>
      <c r="I321" s="178">
        <v>1</v>
      </c>
      <c r="J321" s="215">
        <v>0.0863</v>
      </c>
    </row>
    <row r="322" spans="1:10">
      <c r="A322" s="176">
        <v>315</v>
      </c>
      <c r="B322" s="178" t="s">
        <v>40</v>
      </c>
      <c r="C322" s="178" t="s">
        <v>117</v>
      </c>
      <c r="D322" s="178" t="s">
        <v>32</v>
      </c>
      <c r="E322" s="178" t="s">
        <v>115</v>
      </c>
      <c r="F322" s="178">
        <v>1439</v>
      </c>
      <c r="G322" s="178">
        <v>580</v>
      </c>
      <c r="H322" s="178">
        <v>18</v>
      </c>
      <c r="I322" s="178">
        <v>1</v>
      </c>
      <c r="J322" s="215">
        <v>0.8346</v>
      </c>
    </row>
    <row r="323" spans="1:10">
      <c r="A323" s="176">
        <v>316</v>
      </c>
      <c r="B323" s="178" t="s">
        <v>40</v>
      </c>
      <c r="C323" s="178" t="s">
        <v>114</v>
      </c>
      <c r="D323" s="178" t="s">
        <v>32</v>
      </c>
      <c r="E323" s="178" t="s">
        <v>115</v>
      </c>
      <c r="F323" s="178">
        <v>685</v>
      </c>
      <c r="G323" s="178">
        <v>458</v>
      </c>
      <c r="H323" s="178">
        <v>9</v>
      </c>
      <c r="I323" s="178">
        <v>1</v>
      </c>
      <c r="J323" s="215">
        <v>0.3137</v>
      </c>
    </row>
    <row r="324" spans="1:10">
      <c r="A324" s="176">
        <v>317</v>
      </c>
      <c r="B324" s="178" t="s">
        <v>40</v>
      </c>
      <c r="C324" s="178" t="s">
        <v>129</v>
      </c>
      <c r="D324" s="178" t="s">
        <v>32</v>
      </c>
      <c r="E324" s="178" t="s">
        <v>115</v>
      </c>
      <c r="F324" s="178">
        <v>448</v>
      </c>
      <c r="G324" s="178">
        <v>580</v>
      </c>
      <c r="H324" s="178">
        <v>18</v>
      </c>
      <c r="I324" s="178">
        <v>1</v>
      </c>
      <c r="J324" s="215">
        <v>0.2598</v>
      </c>
    </row>
    <row r="325" spans="1:10">
      <c r="A325" s="176">
        <v>318</v>
      </c>
      <c r="B325" s="178" t="s">
        <v>40</v>
      </c>
      <c r="C325" s="178" t="s">
        <v>114</v>
      </c>
      <c r="D325" s="178" t="s">
        <v>32</v>
      </c>
      <c r="E325" s="178" t="s">
        <v>115</v>
      </c>
      <c r="F325" s="178">
        <v>389</v>
      </c>
      <c r="G325" s="178">
        <v>458</v>
      </c>
      <c r="H325" s="178">
        <v>9</v>
      </c>
      <c r="I325" s="178">
        <v>1</v>
      </c>
      <c r="J325" s="215">
        <v>0.1782</v>
      </c>
    </row>
    <row r="326" spans="1:10">
      <c r="A326" s="176">
        <v>319</v>
      </c>
      <c r="B326" s="178" t="s">
        <v>40</v>
      </c>
      <c r="C326" s="178" t="s">
        <v>129</v>
      </c>
      <c r="D326" s="178" t="s">
        <v>32</v>
      </c>
      <c r="E326" s="178" t="s">
        <v>115</v>
      </c>
      <c r="F326" s="178">
        <v>448</v>
      </c>
      <c r="G326" s="178">
        <v>575</v>
      </c>
      <c r="H326" s="178">
        <v>18</v>
      </c>
      <c r="I326" s="178">
        <v>1</v>
      </c>
      <c r="J326" s="215">
        <v>0.2576</v>
      </c>
    </row>
    <row r="327" spans="1:10">
      <c r="A327" s="176">
        <v>320</v>
      </c>
      <c r="B327" s="178" t="s">
        <v>40</v>
      </c>
      <c r="C327" s="178" t="s">
        <v>114</v>
      </c>
      <c r="D327" s="178" t="s">
        <v>32</v>
      </c>
      <c r="E327" s="178" t="s">
        <v>115</v>
      </c>
      <c r="F327" s="178">
        <v>389</v>
      </c>
      <c r="G327" s="178">
        <v>458</v>
      </c>
      <c r="H327" s="178">
        <v>9</v>
      </c>
      <c r="I327" s="178">
        <v>1</v>
      </c>
      <c r="J327" s="215">
        <v>0.1782</v>
      </c>
    </row>
    <row r="328" spans="1:10">
      <c r="A328" s="176">
        <v>321</v>
      </c>
      <c r="B328" s="178" t="s">
        <v>40</v>
      </c>
      <c r="C328" s="178" t="s">
        <v>129</v>
      </c>
      <c r="D328" s="178" t="s">
        <v>32</v>
      </c>
      <c r="E328" s="178" t="s">
        <v>115</v>
      </c>
      <c r="F328" s="178">
        <v>448</v>
      </c>
      <c r="G328" s="178">
        <v>575</v>
      </c>
      <c r="H328" s="178">
        <v>18</v>
      </c>
      <c r="I328" s="178">
        <v>1</v>
      </c>
      <c r="J328" s="215">
        <v>0.2576</v>
      </c>
    </row>
    <row r="329" spans="1:10">
      <c r="A329" s="176">
        <v>322</v>
      </c>
      <c r="B329" s="178" t="s">
        <v>40</v>
      </c>
      <c r="C329" s="178" t="s">
        <v>114</v>
      </c>
      <c r="D329" s="178" t="s">
        <v>32</v>
      </c>
      <c r="E329" s="178" t="s">
        <v>115</v>
      </c>
      <c r="F329" s="178">
        <v>389</v>
      </c>
      <c r="G329" s="178">
        <v>458</v>
      </c>
      <c r="H329" s="178">
        <v>9</v>
      </c>
      <c r="I329" s="178">
        <v>1</v>
      </c>
      <c r="J329" s="215">
        <v>0.1782</v>
      </c>
    </row>
    <row r="330" spans="1:10">
      <c r="A330" s="176">
        <v>323</v>
      </c>
      <c r="B330" s="178" t="s">
        <v>40</v>
      </c>
      <c r="C330" s="178" t="s">
        <v>129</v>
      </c>
      <c r="D330" s="178" t="s">
        <v>32</v>
      </c>
      <c r="E330" s="178" t="s">
        <v>115</v>
      </c>
      <c r="F330" s="178">
        <v>448</v>
      </c>
      <c r="G330" s="178">
        <v>575</v>
      </c>
      <c r="H330" s="178">
        <v>18</v>
      </c>
      <c r="I330" s="178">
        <v>1</v>
      </c>
      <c r="J330" s="215">
        <v>0.2576</v>
      </c>
    </row>
    <row r="331" spans="1:10">
      <c r="A331" s="176">
        <v>324</v>
      </c>
      <c r="B331" s="178" t="s">
        <v>40</v>
      </c>
      <c r="C331" s="178" t="s">
        <v>114</v>
      </c>
      <c r="D331" s="178" t="s">
        <v>32</v>
      </c>
      <c r="E331" s="178" t="s">
        <v>115</v>
      </c>
      <c r="F331" s="178">
        <v>420</v>
      </c>
      <c r="G331" s="178">
        <v>458</v>
      </c>
      <c r="H331" s="178">
        <v>9</v>
      </c>
      <c r="I331" s="178">
        <v>1</v>
      </c>
      <c r="J331" s="215">
        <v>0.1924</v>
      </c>
    </row>
    <row r="332" spans="1:10">
      <c r="A332" s="176">
        <v>325</v>
      </c>
      <c r="B332" s="178" t="s">
        <v>40</v>
      </c>
      <c r="C332" s="178" t="s">
        <v>221</v>
      </c>
      <c r="D332" s="178" t="s">
        <v>32</v>
      </c>
      <c r="E332" s="178" t="s">
        <v>115</v>
      </c>
      <c r="F332" s="178">
        <v>2294</v>
      </c>
      <c r="G332" s="178">
        <v>580</v>
      </c>
      <c r="H332" s="178">
        <v>18</v>
      </c>
      <c r="I332" s="178">
        <v>1</v>
      </c>
      <c r="J332" s="215">
        <v>1.3305</v>
      </c>
    </row>
    <row r="333" spans="1:10">
      <c r="A333" s="176">
        <v>326</v>
      </c>
      <c r="B333" s="178" t="s">
        <v>40</v>
      </c>
      <c r="C333" s="178" t="s">
        <v>110</v>
      </c>
      <c r="D333" s="178" t="s">
        <v>32</v>
      </c>
      <c r="E333" s="178" t="s">
        <v>115</v>
      </c>
      <c r="F333" s="178">
        <v>425</v>
      </c>
      <c r="G333" s="178">
        <v>471</v>
      </c>
      <c r="H333" s="178">
        <v>18</v>
      </c>
      <c r="I333" s="178">
        <v>1</v>
      </c>
      <c r="J333" s="215">
        <v>0.2002</v>
      </c>
    </row>
    <row r="334" spans="1:10">
      <c r="A334" s="176">
        <v>327</v>
      </c>
      <c r="B334" s="178" t="s">
        <v>40</v>
      </c>
      <c r="C334" s="178" t="s">
        <v>110</v>
      </c>
      <c r="D334" s="178" t="s">
        <v>32</v>
      </c>
      <c r="E334" s="178" t="s">
        <v>115</v>
      </c>
      <c r="F334" s="178">
        <v>425</v>
      </c>
      <c r="G334" s="178">
        <v>471</v>
      </c>
      <c r="H334" s="178">
        <v>18</v>
      </c>
      <c r="I334" s="178">
        <v>1</v>
      </c>
      <c r="J334" s="215">
        <v>0.2002</v>
      </c>
    </row>
    <row r="335" spans="1:10">
      <c r="A335" s="176">
        <v>328</v>
      </c>
      <c r="B335" s="178" t="s">
        <v>40</v>
      </c>
      <c r="C335" s="178" t="s">
        <v>375</v>
      </c>
      <c r="D335" s="178" t="s">
        <v>32</v>
      </c>
      <c r="E335" s="178" t="s">
        <v>115</v>
      </c>
      <c r="F335" s="178">
        <v>895</v>
      </c>
      <c r="G335" s="178">
        <v>198.7</v>
      </c>
      <c r="H335" s="178">
        <v>18</v>
      </c>
      <c r="I335" s="178">
        <v>1</v>
      </c>
      <c r="J335" s="215">
        <v>0.1778</v>
      </c>
    </row>
    <row r="336" spans="1:10">
      <c r="A336" s="176">
        <v>329</v>
      </c>
      <c r="B336" s="178" t="s">
        <v>40</v>
      </c>
      <c r="C336" s="178" t="s">
        <v>123</v>
      </c>
      <c r="D336" s="178" t="s">
        <v>32</v>
      </c>
      <c r="E336" s="178" t="s">
        <v>115</v>
      </c>
      <c r="F336" s="178">
        <v>839</v>
      </c>
      <c r="G336" s="178">
        <v>160</v>
      </c>
      <c r="H336" s="178">
        <v>18</v>
      </c>
      <c r="I336" s="178">
        <v>1</v>
      </c>
      <c r="J336" s="215">
        <v>0.1342</v>
      </c>
    </row>
    <row r="337" spans="1:10">
      <c r="A337" s="176">
        <v>330</v>
      </c>
      <c r="B337" s="178" t="s">
        <v>40</v>
      </c>
      <c r="C337" s="178" t="s">
        <v>124</v>
      </c>
      <c r="D337" s="178" t="s">
        <v>32</v>
      </c>
      <c r="E337" s="178" t="s">
        <v>115</v>
      </c>
      <c r="F337" s="178">
        <v>450</v>
      </c>
      <c r="G337" s="178">
        <v>160</v>
      </c>
      <c r="H337" s="178">
        <v>18</v>
      </c>
      <c r="I337" s="178">
        <v>1</v>
      </c>
      <c r="J337" s="215">
        <v>0.072</v>
      </c>
    </row>
    <row r="338" spans="1:10">
      <c r="A338" s="176">
        <v>331</v>
      </c>
      <c r="B338" s="178" t="s">
        <v>40</v>
      </c>
      <c r="C338" s="178" t="s">
        <v>126</v>
      </c>
      <c r="D338" s="178" t="s">
        <v>32</v>
      </c>
      <c r="E338" s="178" t="s">
        <v>115</v>
      </c>
      <c r="F338" s="178">
        <v>450</v>
      </c>
      <c r="G338" s="178">
        <v>160</v>
      </c>
      <c r="H338" s="178">
        <v>18</v>
      </c>
      <c r="I338" s="178">
        <v>1</v>
      </c>
      <c r="J338" s="215">
        <v>0.072</v>
      </c>
    </row>
    <row r="339" spans="1:10">
      <c r="A339" s="176">
        <v>332</v>
      </c>
      <c r="B339" s="178" t="s">
        <v>40</v>
      </c>
      <c r="C339" s="178" t="s">
        <v>127</v>
      </c>
      <c r="D339" s="178" t="s">
        <v>32</v>
      </c>
      <c r="E339" s="178" t="s">
        <v>115</v>
      </c>
      <c r="F339" s="178">
        <v>849</v>
      </c>
      <c r="G339" s="178">
        <v>442</v>
      </c>
      <c r="H339" s="178">
        <v>9</v>
      </c>
      <c r="I339" s="178">
        <v>1</v>
      </c>
      <c r="J339" s="215">
        <v>0.3753</v>
      </c>
    </row>
    <row r="340" spans="1:10">
      <c r="A340" s="176">
        <v>333</v>
      </c>
      <c r="B340" s="178" t="s">
        <v>40</v>
      </c>
      <c r="C340" s="178" t="s">
        <v>375</v>
      </c>
      <c r="D340" s="178" t="s">
        <v>32</v>
      </c>
      <c r="E340" s="178" t="s">
        <v>115</v>
      </c>
      <c r="F340" s="178">
        <v>895</v>
      </c>
      <c r="G340" s="178">
        <v>198.7</v>
      </c>
      <c r="H340" s="178">
        <v>18</v>
      </c>
      <c r="I340" s="178">
        <v>1</v>
      </c>
      <c r="J340" s="215">
        <v>0.1778</v>
      </c>
    </row>
    <row r="341" spans="1:10">
      <c r="A341" s="176">
        <v>334</v>
      </c>
      <c r="B341" s="178" t="s">
        <v>40</v>
      </c>
      <c r="C341" s="178" t="s">
        <v>123</v>
      </c>
      <c r="D341" s="178" t="s">
        <v>32</v>
      </c>
      <c r="E341" s="178" t="s">
        <v>115</v>
      </c>
      <c r="F341" s="178">
        <v>839</v>
      </c>
      <c r="G341" s="178">
        <v>160</v>
      </c>
      <c r="H341" s="178">
        <v>18</v>
      </c>
      <c r="I341" s="178">
        <v>1</v>
      </c>
      <c r="J341" s="215">
        <v>0.1342</v>
      </c>
    </row>
    <row r="342" spans="1:10">
      <c r="A342" s="176">
        <v>335</v>
      </c>
      <c r="B342" s="178" t="s">
        <v>40</v>
      </c>
      <c r="C342" s="178" t="s">
        <v>124</v>
      </c>
      <c r="D342" s="178" t="s">
        <v>32</v>
      </c>
      <c r="E342" s="178" t="s">
        <v>115</v>
      </c>
      <c r="F342" s="178">
        <v>450</v>
      </c>
      <c r="G342" s="178">
        <v>160</v>
      </c>
      <c r="H342" s="178">
        <v>18</v>
      </c>
      <c r="I342" s="178">
        <v>1</v>
      </c>
      <c r="J342" s="215">
        <v>0.072</v>
      </c>
    </row>
    <row r="343" spans="1:10">
      <c r="A343" s="176">
        <v>336</v>
      </c>
      <c r="B343" s="178" t="s">
        <v>40</v>
      </c>
      <c r="C343" s="178" t="s">
        <v>126</v>
      </c>
      <c r="D343" s="178" t="s">
        <v>32</v>
      </c>
      <c r="E343" s="178" t="s">
        <v>115</v>
      </c>
      <c r="F343" s="178">
        <v>450</v>
      </c>
      <c r="G343" s="178">
        <v>160</v>
      </c>
      <c r="H343" s="178">
        <v>18</v>
      </c>
      <c r="I343" s="178">
        <v>1</v>
      </c>
      <c r="J343" s="215">
        <v>0.072</v>
      </c>
    </row>
    <row r="344" spans="1:10">
      <c r="A344" s="176">
        <v>337</v>
      </c>
      <c r="B344" s="178" t="s">
        <v>40</v>
      </c>
      <c r="C344" s="178" t="s">
        <v>127</v>
      </c>
      <c r="D344" s="178" t="s">
        <v>32</v>
      </c>
      <c r="E344" s="178" t="s">
        <v>115</v>
      </c>
      <c r="F344" s="178">
        <v>849</v>
      </c>
      <c r="G344" s="178">
        <v>442</v>
      </c>
      <c r="H344" s="178">
        <v>9</v>
      </c>
      <c r="I344" s="178">
        <v>1</v>
      </c>
      <c r="J344" s="215">
        <v>0.3753</v>
      </c>
    </row>
    <row r="345" spans="1:10">
      <c r="A345" s="176">
        <v>338</v>
      </c>
      <c r="B345" s="178" t="s">
        <v>40</v>
      </c>
      <c r="C345" s="178" t="s">
        <v>223</v>
      </c>
      <c r="D345" s="178" t="s">
        <v>32</v>
      </c>
      <c r="E345" s="178" t="s">
        <v>115</v>
      </c>
      <c r="F345" s="178">
        <v>425</v>
      </c>
      <c r="G345" s="178">
        <v>471</v>
      </c>
      <c r="H345" s="178">
        <v>18</v>
      </c>
      <c r="I345" s="178">
        <v>1</v>
      </c>
      <c r="J345" s="215">
        <v>0.2002</v>
      </c>
    </row>
    <row r="346" spans="1:10">
      <c r="A346" s="176">
        <v>339</v>
      </c>
      <c r="B346" s="178" t="s">
        <v>40</v>
      </c>
      <c r="C346" s="178" t="s">
        <v>223</v>
      </c>
      <c r="D346" s="178" t="s">
        <v>32</v>
      </c>
      <c r="E346" s="178" t="s">
        <v>115</v>
      </c>
      <c r="F346" s="178">
        <v>425</v>
      </c>
      <c r="G346" s="178">
        <v>471</v>
      </c>
      <c r="H346" s="178">
        <v>18</v>
      </c>
      <c r="I346" s="178">
        <v>1</v>
      </c>
      <c r="J346" s="215">
        <v>0.2002</v>
      </c>
    </row>
    <row r="347" spans="1:10">
      <c r="A347" s="176">
        <v>340</v>
      </c>
      <c r="B347" s="178" t="s">
        <v>40</v>
      </c>
      <c r="C347" s="178" t="s">
        <v>114</v>
      </c>
      <c r="D347" s="178" t="s">
        <v>32</v>
      </c>
      <c r="E347" s="178" t="s">
        <v>115</v>
      </c>
      <c r="F347" s="178">
        <v>858</v>
      </c>
      <c r="G347" s="178">
        <v>983</v>
      </c>
      <c r="H347" s="178">
        <v>9</v>
      </c>
      <c r="I347" s="178">
        <v>1</v>
      </c>
      <c r="J347" s="215">
        <v>0.8434</v>
      </c>
    </row>
    <row r="348" spans="1:10">
      <c r="A348" s="176">
        <v>341</v>
      </c>
      <c r="B348" s="178" t="s">
        <v>40</v>
      </c>
      <c r="C348" s="178" t="s">
        <v>129</v>
      </c>
      <c r="D348" s="178" t="s">
        <v>32</v>
      </c>
      <c r="E348" s="178" t="s">
        <v>115</v>
      </c>
      <c r="F348" s="178">
        <v>973</v>
      </c>
      <c r="G348" s="178">
        <v>500</v>
      </c>
      <c r="H348" s="178">
        <v>18</v>
      </c>
      <c r="I348" s="178">
        <v>1</v>
      </c>
      <c r="J348" s="215">
        <v>0.4865</v>
      </c>
    </row>
    <row r="349" spans="1:10">
      <c r="A349" s="176">
        <v>342</v>
      </c>
      <c r="B349" s="178" t="s">
        <v>40</v>
      </c>
      <c r="C349" s="178" t="s">
        <v>114</v>
      </c>
      <c r="D349" s="178" t="s">
        <v>32</v>
      </c>
      <c r="E349" s="178" t="s">
        <v>115</v>
      </c>
      <c r="F349" s="178">
        <v>1010</v>
      </c>
      <c r="G349" s="178">
        <v>983</v>
      </c>
      <c r="H349" s="178">
        <v>9</v>
      </c>
      <c r="I349" s="178">
        <v>1</v>
      </c>
      <c r="J349" s="215">
        <v>0.9928</v>
      </c>
    </row>
    <row r="350" spans="1:10">
      <c r="A350" s="176">
        <v>343</v>
      </c>
      <c r="B350" s="178" t="s">
        <v>40</v>
      </c>
      <c r="C350" s="178" t="s">
        <v>180</v>
      </c>
      <c r="D350" s="178" t="s">
        <v>32</v>
      </c>
      <c r="E350" s="178" t="s">
        <v>115</v>
      </c>
      <c r="F350" s="178">
        <v>973</v>
      </c>
      <c r="G350" s="178">
        <v>80</v>
      </c>
      <c r="H350" s="178">
        <v>18</v>
      </c>
      <c r="I350" s="178">
        <v>1</v>
      </c>
      <c r="J350" s="215">
        <v>0.0778</v>
      </c>
    </row>
    <row r="351" spans="1:10">
      <c r="A351" s="176">
        <v>344</v>
      </c>
      <c r="B351" s="178" t="s">
        <v>40</v>
      </c>
      <c r="C351" s="178" t="s">
        <v>129</v>
      </c>
      <c r="D351" s="178" t="s">
        <v>32</v>
      </c>
      <c r="E351" s="178" t="s">
        <v>115</v>
      </c>
      <c r="F351" s="178">
        <v>973</v>
      </c>
      <c r="G351" s="178">
        <v>575</v>
      </c>
      <c r="H351" s="178">
        <v>18</v>
      </c>
      <c r="I351" s="178">
        <v>1</v>
      </c>
      <c r="J351" s="215">
        <v>0.5595</v>
      </c>
    </row>
    <row r="352" spans="1:10">
      <c r="A352" s="176">
        <v>345</v>
      </c>
      <c r="B352" s="178" t="s">
        <v>40</v>
      </c>
      <c r="C352" s="178" t="s">
        <v>114</v>
      </c>
      <c r="D352" s="178" t="s">
        <v>32</v>
      </c>
      <c r="E352" s="178" t="s">
        <v>115</v>
      </c>
      <c r="F352" s="178">
        <v>420</v>
      </c>
      <c r="G352" s="178">
        <v>983</v>
      </c>
      <c r="H352" s="178">
        <v>9</v>
      </c>
      <c r="I352" s="178">
        <v>1</v>
      </c>
      <c r="J352" s="215">
        <v>0.4129</v>
      </c>
    </row>
    <row r="353" spans="1:10">
      <c r="A353" s="176">
        <v>346</v>
      </c>
      <c r="B353" s="178" t="s">
        <v>40</v>
      </c>
      <c r="C353" s="178" t="s">
        <v>142</v>
      </c>
      <c r="D353" s="178" t="s">
        <v>32</v>
      </c>
      <c r="E353" s="178" t="s">
        <v>115</v>
      </c>
      <c r="F353" s="178">
        <v>1439</v>
      </c>
      <c r="G353" s="178">
        <v>580</v>
      </c>
      <c r="H353" s="178">
        <v>18</v>
      </c>
      <c r="I353" s="178">
        <v>1</v>
      </c>
      <c r="J353" s="215">
        <v>0.8346</v>
      </c>
    </row>
    <row r="354" spans="1:10">
      <c r="A354" s="176">
        <v>347</v>
      </c>
      <c r="B354" s="178" t="s">
        <v>40</v>
      </c>
      <c r="C354" s="178" t="s">
        <v>223</v>
      </c>
      <c r="D354" s="178" t="s">
        <v>32</v>
      </c>
      <c r="E354" s="178" t="s">
        <v>115</v>
      </c>
      <c r="F354" s="178">
        <v>2390</v>
      </c>
      <c r="G354" s="178">
        <v>580</v>
      </c>
      <c r="H354" s="178">
        <v>18</v>
      </c>
      <c r="I354" s="178">
        <v>1</v>
      </c>
      <c r="J354" s="215">
        <v>1.3862</v>
      </c>
    </row>
    <row r="355" spans="1:10">
      <c r="A355" s="176">
        <v>348</v>
      </c>
      <c r="B355" s="178" t="s">
        <v>40</v>
      </c>
      <c r="C355" s="178" t="s">
        <v>145</v>
      </c>
      <c r="D355" s="178" t="s">
        <v>32</v>
      </c>
      <c r="E355" s="178" t="s">
        <v>115</v>
      </c>
      <c r="F355" s="178">
        <v>1525</v>
      </c>
      <c r="G355" s="178">
        <v>50</v>
      </c>
      <c r="H355" s="178">
        <v>18</v>
      </c>
      <c r="I355" s="178">
        <v>1</v>
      </c>
      <c r="J355" s="215">
        <v>0.0762</v>
      </c>
    </row>
    <row r="356" spans="1:10">
      <c r="A356" s="176">
        <v>349</v>
      </c>
      <c r="B356" s="178" t="s">
        <v>40</v>
      </c>
      <c r="C356" s="178" t="s">
        <v>146</v>
      </c>
      <c r="D356" s="178" t="s">
        <v>32</v>
      </c>
      <c r="E356" s="178" t="s">
        <v>115</v>
      </c>
      <c r="F356" s="178">
        <v>1525</v>
      </c>
      <c r="G356" s="178">
        <v>80</v>
      </c>
      <c r="H356" s="178">
        <v>18</v>
      </c>
      <c r="I356" s="178">
        <v>1</v>
      </c>
      <c r="J356" s="215">
        <v>0.122</v>
      </c>
    </row>
    <row r="357" spans="1:10">
      <c r="A357" s="176">
        <v>350</v>
      </c>
      <c r="B357" s="178" t="s">
        <v>40</v>
      </c>
      <c r="C357" s="178" t="s">
        <v>31</v>
      </c>
      <c r="D357" s="178" t="s">
        <v>32</v>
      </c>
      <c r="E357" s="178" t="s">
        <v>33</v>
      </c>
      <c r="F357" s="178">
        <v>2407</v>
      </c>
      <c r="G357" s="178">
        <v>497</v>
      </c>
      <c r="H357" s="178">
        <v>18</v>
      </c>
      <c r="I357" s="178">
        <v>1</v>
      </c>
      <c r="J357" s="215">
        <v>1.1963</v>
      </c>
    </row>
    <row r="358" spans="1:10">
      <c r="A358" s="176">
        <v>351</v>
      </c>
      <c r="B358" s="178" t="s">
        <v>40</v>
      </c>
      <c r="C358" s="178" t="s">
        <v>35</v>
      </c>
      <c r="D358" s="178" t="s">
        <v>32</v>
      </c>
      <c r="E358" s="178" t="s">
        <v>33</v>
      </c>
      <c r="F358" s="178">
        <v>2407</v>
      </c>
      <c r="G358" s="178">
        <v>497</v>
      </c>
      <c r="H358" s="178">
        <v>18</v>
      </c>
      <c r="I358" s="178">
        <v>1</v>
      </c>
      <c r="J358" s="215">
        <v>1.1963</v>
      </c>
    </row>
    <row r="359" spans="1:10">
      <c r="A359" s="176">
        <v>352</v>
      </c>
      <c r="B359" s="178" t="s">
        <v>40</v>
      </c>
      <c r="C359" s="178" t="s">
        <v>31</v>
      </c>
      <c r="D359" s="178" t="s">
        <v>32</v>
      </c>
      <c r="E359" s="178" t="s">
        <v>111</v>
      </c>
      <c r="F359" s="178">
        <v>1665</v>
      </c>
      <c r="G359" s="178">
        <v>472</v>
      </c>
      <c r="H359" s="178">
        <v>18</v>
      </c>
      <c r="I359" s="178">
        <v>1</v>
      </c>
      <c r="J359" s="215">
        <v>0.7859</v>
      </c>
    </row>
    <row r="360" spans="1:10">
      <c r="A360" s="176">
        <v>353</v>
      </c>
      <c r="B360" s="178" t="s">
        <v>40</v>
      </c>
      <c r="C360" s="178" t="s">
        <v>31</v>
      </c>
      <c r="D360" s="178" t="s">
        <v>32</v>
      </c>
      <c r="E360" s="178" t="s">
        <v>111</v>
      </c>
      <c r="F360" s="178">
        <v>739</v>
      </c>
      <c r="G360" s="178">
        <v>472</v>
      </c>
      <c r="H360" s="178">
        <v>18</v>
      </c>
      <c r="I360" s="178">
        <v>1</v>
      </c>
      <c r="J360" s="215">
        <v>0.3488</v>
      </c>
    </row>
    <row r="361" spans="1:10">
      <c r="A361" s="176">
        <v>354</v>
      </c>
      <c r="B361" s="178" t="s">
        <v>561</v>
      </c>
      <c r="C361" s="178" t="s">
        <v>110</v>
      </c>
      <c r="D361" s="178" t="s">
        <v>32</v>
      </c>
      <c r="E361" s="178" t="s">
        <v>115</v>
      </c>
      <c r="F361" s="178">
        <v>2390</v>
      </c>
      <c r="G361" s="178">
        <v>580</v>
      </c>
      <c r="H361" s="178">
        <v>18</v>
      </c>
      <c r="I361" s="178">
        <v>1</v>
      </c>
      <c r="J361" s="215">
        <v>1.3862</v>
      </c>
    </row>
    <row r="362" spans="1:10">
      <c r="A362" s="176">
        <v>355</v>
      </c>
      <c r="B362" s="178" t="s">
        <v>561</v>
      </c>
      <c r="C362" s="178" t="s">
        <v>199</v>
      </c>
      <c r="D362" s="178" t="s">
        <v>32</v>
      </c>
      <c r="E362" s="178" t="s">
        <v>115</v>
      </c>
      <c r="F362" s="178">
        <v>1039</v>
      </c>
      <c r="G362" s="178">
        <v>60</v>
      </c>
      <c r="H362" s="178">
        <v>18</v>
      </c>
      <c r="I362" s="178">
        <v>1</v>
      </c>
      <c r="J362" s="215">
        <v>0.0623</v>
      </c>
    </row>
    <row r="363" spans="1:10">
      <c r="A363" s="176">
        <v>356</v>
      </c>
      <c r="B363" s="178" t="s">
        <v>561</v>
      </c>
      <c r="C363" s="178" t="s">
        <v>327</v>
      </c>
      <c r="D363" s="178" t="s">
        <v>32</v>
      </c>
      <c r="E363" s="178" t="s">
        <v>115</v>
      </c>
      <c r="F363" s="178">
        <v>524</v>
      </c>
      <c r="G363" s="178">
        <v>60</v>
      </c>
      <c r="H363" s="178">
        <v>18</v>
      </c>
      <c r="I363" s="178">
        <v>1</v>
      </c>
      <c r="J363" s="215">
        <v>0.0314</v>
      </c>
    </row>
    <row r="364" spans="1:10">
      <c r="A364" s="176">
        <v>357</v>
      </c>
      <c r="B364" s="178" t="s">
        <v>561</v>
      </c>
      <c r="C364" s="178" t="s">
        <v>199</v>
      </c>
      <c r="D364" s="178" t="s">
        <v>32</v>
      </c>
      <c r="E364" s="178" t="s">
        <v>115</v>
      </c>
      <c r="F364" s="178">
        <v>1039</v>
      </c>
      <c r="G364" s="178">
        <v>60</v>
      </c>
      <c r="H364" s="178">
        <v>18</v>
      </c>
      <c r="I364" s="178">
        <v>1</v>
      </c>
      <c r="J364" s="215">
        <v>0.0623</v>
      </c>
    </row>
    <row r="365" spans="1:10">
      <c r="A365" s="176">
        <v>358</v>
      </c>
      <c r="B365" s="178" t="s">
        <v>561</v>
      </c>
      <c r="C365" s="178" t="s">
        <v>117</v>
      </c>
      <c r="D365" s="178" t="s">
        <v>32</v>
      </c>
      <c r="E365" s="178" t="s">
        <v>115</v>
      </c>
      <c r="F365" s="178">
        <v>1039</v>
      </c>
      <c r="G365" s="178">
        <v>580</v>
      </c>
      <c r="H365" s="178">
        <v>18</v>
      </c>
      <c r="I365" s="178">
        <v>1</v>
      </c>
      <c r="J365" s="215">
        <v>0.6026</v>
      </c>
    </row>
    <row r="366" spans="1:10">
      <c r="A366" s="176">
        <v>359</v>
      </c>
      <c r="B366" s="178" t="s">
        <v>561</v>
      </c>
      <c r="C366" s="178" t="s">
        <v>131</v>
      </c>
      <c r="D366" s="178" t="s">
        <v>32</v>
      </c>
      <c r="E366" s="178" t="s">
        <v>111</v>
      </c>
      <c r="F366" s="178">
        <v>2440</v>
      </c>
      <c r="G366" s="178">
        <v>600</v>
      </c>
      <c r="H366" s="178">
        <v>18</v>
      </c>
      <c r="I366" s="178">
        <v>1</v>
      </c>
      <c r="J366" s="215">
        <v>1.464</v>
      </c>
    </row>
    <row r="367" spans="1:10">
      <c r="A367" s="176">
        <v>360</v>
      </c>
      <c r="B367" s="178" t="s">
        <v>561</v>
      </c>
      <c r="C367" s="178" t="s">
        <v>114</v>
      </c>
      <c r="D367" s="178" t="s">
        <v>32</v>
      </c>
      <c r="E367" s="178" t="s">
        <v>115</v>
      </c>
      <c r="F367" s="178">
        <v>1876</v>
      </c>
      <c r="G367" s="178">
        <v>1049</v>
      </c>
      <c r="H367" s="178">
        <v>9</v>
      </c>
      <c r="I367" s="178">
        <v>1</v>
      </c>
      <c r="J367" s="215">
        <v>1.9679</v>
      </c>
    </row>
    <row r="368" spans="1:10">
      <c r="A368" s="176">
        <v>361</v>
      </c>
      <c r="B368" s="178" t="s">
        <v>561</v>
      </c>
      <c r="C368" s="178" t="s">
        <v>180</v>
      </c>
      <c r="D368" s="178" t="s">
        <v>32</v>
      </c>
      <c r="E368" s="178" t="s">
        <v>115</v>
      </c>
      <c r="F368" s="178">
        <v>1039</v>
      </c>
      <c r="G368" s="178">
        <v>80</v>
      </c>
      <c r="H368" s="178">
        <v>18</v>
      </c>
      <c r="I368" s="178">
        <v>1</v>
      </c>
      <c r="J368" s="215">
        <v>0.0831</v>
      </c>
    </row>
    <row r="369" spans="1:10">
      <c r="A369" s="176">
        <v>362</v>
      </c>
      <c r="B369" s="178" t="s">
        <v>561</v>
      </c>
      <c r="C369" s="178" t="s">
        <v>180</v>
      </c>
      <c r="D369" s="178" t="s">
        <v>32</v>
      </c>
      <c r="E369" s="178" t="s">
        <v>115</v>
      </c>
      <c r="F369" s="178">
        <v>1039</v>
      </c>
      <c r="G369" s="178">
        <v>80</v>
      </c>
      <c r="H369" s="178">
        <v>18</v>
      </c>
      <c r="I369" s="178">
        <v>1</v>
      </c>
      <c r="J369" s="215">
        <v>0.0831</v>
      </c>
    </row>
    <row r="370" spans="1:10">
      <c r="A370" s="176">
        <v>363</v>
      </c>
      <c r="B370" s="178" t="s">
        <v>561</v>
      </c>
      <c r="C370" s="178" t="s">
        <v>129</v>
      </c>
      <c r="D370" s="178" t="s">
        <v>32</v>
      </c>
      <c r="E370" s="178" t="s">
        <v>115</v>
      </c>
      <c r="F370" s="178">
        <v>1039</v>
      </c>
      <c r="G370" s="178">
        <v>575</v>
      </c>
      <c r="H370" s="178">
        <v>18</v>
      </c>
      <c r="I370" s="178">
        <v>1</v>
      </c>
      <c r="J370" s="215">
        <v>0.5974</v>
      </c>
    </row>
    <row r="371" spans="1:10">
      <c r="A371" s="176">
        <v>364</v>
      </c>
      <c r="B371" s="178" t="s">
        <v>561</v>
      </c>
      <c r="C371" s="178" t="s">
        <v>114</v>
      </c>
      <c r="D371" s="178" t="s">
        <v>32</v>
      </c>
      <c r="E371" s="178" t="s">
        <v>115</v>
      </c>
      <c r="F371" s="178">
        <v>420</v>
      </c>
      <c r="G371" s="178">
        <v>1049</v>
      </c>
      <c r="H371" s="178">
        <v>9</v>
      </c>
      <c r="I371" s="178">
        <v>1</v>
      </c>
      <c r="J371" s="215">
        <v>0.4406</v>
      </c>
    </row>
    <row r="372" spans="1:10">
      <c r="A372" s="176">
        <v>365</v>
      </c>
      <c r="B372" s="178" t="s">
        <v>561</v>
      </c>
      <c r="C372" s="178" t="s">
        <v>142</v>
      </c>
      <c r="D372" s="178" t="s">
        <v>32</v>
      </c>
      <c r="E372" s="178" t="s">
        <v>115</v>
      </c>
      <c r="F372" s="178">
        <v>1039</v>
      </c>
      <c r="G372" s="178">
        <v>580</v>
      </c>
      <c r="H372" s="178">
        <v>18</v>
      </c>
      <c r="I372" s="178">
        <v>1</v>
      </c>
      <c r="J372" s="215">
        <v>0.6026</v>
      </c>
    </row>
    <row r="373" spans="1:10">
      <c r="A373" s="176">
        <v>366</v>
      </c>
      <c r="B373" s="178" t="s">
        <v>561</v>
      </c>
      <c r="C373" s="178" t="s">
        <v>223</v>
      </c>
      <c r="D373" s="178" t="s">
        <v>32</v>
      </c>
      <c r="E373" s="178" t="s">
        <v>115</v>
      </c>
      <c r="F373" s="178">
        <v>2390</v>
      </c>
      <c r="G373" s="178">
        <v>580</v>
      </c>
      <c r="H373" s="178">
        <v>18</v>
      </c>
      <c r="I373" s="178">
        <v>1</v>
      </c>
      <c r="J373" s="215">
        <v>1.3862</v>
      </c>
    </row>
    <row r="374" spans="1:10">
      <c r="A374" s="176">
        <v>367</v>
      </c>
      <c r="B374" s="178" t="s">
        <v>561</v>
      </c>
      <c r="C374" s="178" t="s">
        <v>145</v>
      </c>
      <c r="D374" s="178" t="s">
        <v>32</v>
      </c>
      <c r="E374" s="178" t="s">
        <v>115</v>
      </c>
      <c r="F374" s="178">
        <v>1075</v>
      </c>
      <c r="G374" s="178">
        <v>50</v>
      </c>
      <c r="H374" s="178">
        <v>18</v>
      </c>
      <c r="I374" s="178">
        <v>1</v>
      </c>
      <c r="J374" s="215">
        <v>0.0538</v>
      </c>
    </row>
    <row r="375" spans="1:10">
      <c r="A375" s="176">
        <v>368</v>
      </c>
      <c r="B375" s="178" t="s">
        <v>561</v>
      </c>
      <c r="C375" s="178" t="s">
        <v>146</v>
      </c>
      <c r="D375" s="178" t="s">
        <v>32</v>
      </c>
      <c r="E375" s="178" t="s">
        <v>115</v>
      </c>
      <c r="F375" s="178">
        <v>1075</v>
      </c>
      <c r="G375" s="178">
        <v>80</v>
      </c>
      <c r="H375" s="178">
        <v>18</v>
      </c>
      <c r="I375" s="178">
        <v>1</v>
      </c>
      <c r="J375" s="215">
        <v>0.086</v>
      </c>
    </row>
    <row r="376" spans="1:10">
      <c r="A376" s="176">
        <v>369</v>
      </c>
      <c r="B376" s="178" t="s">
        <v>561</v>
      </c>
      <c r="C376" s="178" t="s">
        <v>35</v>
      </c>
      <c r="D376" s="178" t="s">
        <v>32</v>
      </c>
      <c r="E376" s="178" t="s">
        <v>111</v>
      </c>
      <c r="F376" s="178">
        <v>1665</v>
      </c>
      <c r="G376" s="178">
        <v>472</v>
      </c>
      <c r="H376" s="178">
        <v>18</v>
      </c>
      <c r="I376" s="178">
        <v>1</v>
      </c>
      <c r="J376" s="215">
        <v>0.7859</v>
      </c>
    </row>
    <row r="377" spans="1:10">
      <c r="A377" s="176">
        <v>370</v>
      </c>
      <c r="B377" s="178" t="s">
        <v>561</v>
      </c>
      <c r="C377" s="178" t="s">
        <v>35</v>
      </c>
      <c r="D377" s="178" t="s">
        <v>32</v>
      </c>
      <c r="E377" s="178" t="s">
        <v>111</v>
      </c>
      <c r="F377" s="178">
        <v>739</v>
      </c>
      <c r="G377" s="178">
        <v>472</v>
      </c>
      <c r="H377" s="178">
        <v>18</v>
      </c>
      <c r="I377" s="178">
        <v>1</v>
      </c>
      <c r="J377" s="215">
        <v>0.3488</v>
      </c>
    </row>
    <row r="378" spans="1:10">
      <c r="A378" s="176">
        <v>371</v>
      </c>
      <c r="B378" s="178" t="s">
        <v>562</v>
      </c>
      <c r="C378" s="178" t="s">
        <v>110</v>
      </c>
      <c r="D378" s="178" t="s">
        <v>32</v>
      </c>
      <c r="E378" s="178" t="s">
        <v>111</v>
      </c>
      <c r="F378" s="178">
        <v>2440</v>
      </c>
      <c r="G378" s="178">
        <v>600</v>
      </c>
      <c r="H378" s="178">
        <v>18</v>
      </c>
      <c r="I378" s="178">
        <v>1</v>
      </c>
      <c r="J378" s="215">
        <v>1.464</v>
      </c>
    </row>
    <row r="379" spans="1:10">
      <c r="A379" s="176">
        <v>372</v>
      </c>
      <c r="B379" s="178" t="s">
        <v>562</v>
      </c>
      <c r="C379" s="178" t="s">
        <v>199</v>
      </c>
      <c r="D379" s="178" t="s">
        <v>32</v>
      </c>
      <c r="E379" s="178" t="s">
        <v>115</v>
      </c>
      <c r="F379" s="178">
        <v>744</v>
      </c>
      <c r="G379" s="178">
        <v>60</v>
      </c>
      <c r="H379" s="178">
        <v>18</v>
      </c>
      <c r="I379" s="178">
        <v>1</v>
      </c>
      <c r="J379" s="215">
        <v>0.0446</v>
      </c>
    </row>
    <row r="380" spans="1:10">
      <c r="A380" s="176">
        <v>373</v>
      </c>
      <c r="B380" s="178" t="s">
        <v>562</v>
      </c>
      <c r="C380" s="178" t="s">
        <v>199</v>
      </c>
      <c r="D380" s="178" t="s">
        <v>32</v>
      </c>
      <c r="E380" s="178" t="s">
        <v>115</v>
      </c>
      <c r="F380" s="178">
        <v>744</v>
      </c>
      <c r="G380" s="178">
        <v>60</v>
      </c>
      <c r="H380" s="178">
        <v>18</v>
      </c>
      <c r="I380" s="178">
        <v>1</v>
      </c>
      <c r="J380" s="215">
        <v>0.0446</v>
      </c>
    </row>
    <row r="381" spans="1:10">
      <c r="A381" s="176">
        <v>374</v>
      </c>
      <c r="B381" s="178" t="s">
        <v>562</v>
      </c>
      <c r="C381" s="178" t="s">
        <v>117</v>
      </c>
      <c r="D381" s="178" t="s">
        <v>32</v>
      </c>
      <c r="E381" s="178" t="s">
        <v>115</v>
      </c>
      <c r="F381" s="178">
        <v>744</v>
      </c>
      <c r="G381" s="178">
        <v>580</v>
      </c>
      <c r="H381" s="178">
        <v>18</v>
      </c>
      <c r="I381" s="178">
        <v>1</v>
      </c>
      <c r="J381" s="215">
        <v>0.4315</v>
      </c>
    </row>
    <row r="382" spans="1:10">
      <c r="A382" s="176">
        <v>375</v>
      </c>
      <c r="B382" s="178" t="s">
        <v>562</v>
      </c>
      <c r="C382" s="178" t="s">
        <v>114</v>
      </c>
      <c r="D382" s="178" t="s">
        <v>32</v>
      </c>
      <c r="E382" s="178" t="s">
        <v>115</v>
      </c>
      <c r="F382" s="178">
        <v>685</v>
      </c>
      <c r="G382" s="178">
        <v>754</v>
      </c>
      <c r="H382" s="178">
        <v>9</v>
      </c>
      <c r="I382" s="178">
        <v>1</v>
      </c>
      <c r="J382" s="215">
        <v>0.5165</v>
      </c>
    </row>
    <row r="383" spans="1:10">
      <c r="A383" s="176">
        <v>376</v>
      </c>
      <c r="B383" s="178" t="s">
        <v>562</v>
      </c>
      <c r="C383" s="178" t="s">
        <v>129</v>
      </c>
      <c r="D383" s="178" t="s">
        <v>32</v>
      </c>
      <c r="E383" s="178" t="s">
        <v>115</v>
      </c>
      <c r="F383" s="178">
        <v>744</v>
      </c>
      <c r="G383" s="178">
        <v>580</v>
      </c>
      <c r="H383" s="178">
        <v>18</v>
      </c>
      <c r="I383" s="178">
        <v>1</v>
      </c>
      <c r="J383" s="215">
        <v>0.4315</v>
      </c>
    </row>
    <row r="384" spans="1:10">
      <c r="A384" s="176">
        <v>377</v>
      </c>
      <c r="B384" s="178" t="s">
        <v>562</v>
      </c>
      <c r="C384" s="178" t="s">
        <v>114</v>
      </c>
      <c r="D384" s="178" t="s">
        <v>32</v>
      </c>
      <c r="E384" s="178" t="s">
        <v>115</v>
      </c>
      <c r="F384" s="178">
        <v>1183</v>
      </c>
      <c r="G384" s="178">
        <v>754</v>
      </c>
      <c r="H384" s="178">
        <v>9</v>
      </c>
      <c r="I384" s="178">
        <v>1</v>
      </c>
      <c r="J384" s="215">
        <v>0.892</v>
      </c>
    </row>
    <row r="385" spans="1:10">
      <c r="A385" s="176">
        <v>378</v>
      </c>
      <c r="B385" s="178" t="s">
        <v>562</v>
      </c>
      <c r="C385" s="178" t="s">
        <v>180</v>
      </c>
      <c r="D385" s="178" t="s">
        <v>32</v>
      </c>
      <c r="E385" s="178" t="s">
        <v>115</v>
      </c>
      <c r="F385" s="178">
        <v>744</v>
      </c>
      <c r="G385" s="178">
        <v>80</v>
      </c>
      <c r="H385" s="178">
        <v>18</v>
      </c>
      <c r="I385" s="178">
        <v>1</v>
      </c>
      <c r="J385" s="215">
        <v>0.0595</v>
      </c>
    </row>
    <row r="386" spans="1:10">
      <c r="A386" s="176">
        <v>379</v>
      </c>
      <c r="B386" s="178" t="s">
        <v>562</v>
      </c>
      <c r="C386" s="178" t="s">
        <v>129</v>
      </c>
      <c r="D386" s="178" t="s">
        <v>32</v>
      </c>
      <c r="E386" s="178" t="s">
        <v>115</v>
      </c>
      <c r="F386" s="178">
        <v>744</v>
      </c>
      <c r="G386" s="178">
        <v>575</v>
      </c>
      <c r="H386" s="178">
        <v>18</v>
      </c>
      <c r="I386" s="178">
        <v>1</v>
      </c>
      <c r="J386" s="215">
        <v>0.4278</v>
      </c>
    </row>
    <row r="387" spans="1:10">
      <c r="A387" s="176">
        <v>380</v>
      </c>
      <c r="B387" s="178" t="s">
        <v>562</v>
      </c>
      <c r="C387" s="178" t="s">
        <v>114</v>
      </c>
      <c r="D387" s="178" t="s">
        <v>32</v>
      </c>
      <c r="E387" s="178" t="s">
        <v>115</v>
      </c>
      <c r="F387" s="178">
        <v>420</v>
      </c>
      <c r="G387" s="178">
        <v>754</v>
      </c>
      <c r="H387" s="178">
        <v>9</v>
      </c>
      <c r="I387" s="178">
        <v>1</v>
      </c>
      <c r="J387" s="215">
        <v>0.3167</v>
      </c>
    </row>
    <row r="388" spans="1:10">
      <c r="A388" s="176">
        <v>381</v>
      </c>
      <c r="B388" s="178" t="s">
        <v>562</v>
      </c>
      <c r="C388" s="178" t="s">
        <v>142</v>
      </c>
      <c r="D388" s="178" t="s">
        <v>32</v>
      </c>
      <c r="E388" s="178" t="s">
        <v>115</v>
      </c>
      <c r="F388" s="178">
        <v>744</v>
      </c>
      <c r="G388" s="178">
        <v>580</v>
      </c>
      <c r="H388" s="178">
        <v>18</v>
      </c>
      <c r="I388" s="178">
        <v>1</v>
      </c>
      <c r="J388" s="215">
        <v>0.4315</v>
      </c>
    </row>
    <row r="389" spans="1:10">
      <c r="A389" s="176">
        <v>382</v>
      </c>
      <c r="B389" s="178" t="s">
        <v>562</v>
      </c>
      <c r="C389" s="178" t="s">
        <v>145</v>
      </c>
      <c r="D389" s="178" t="s">
        <v>32</v>
      </c>
      <c r="E389" s="178" t="s">
        <v>115</v>
      </c>
      <c r="F389" s="178">
        <v>744</v>
      </c>
      <c r="G389" s="178">
        <v>50</v>
      </c>
      <c r="H389" s="178">
        <v>18</v>
      </c>
      <c r="I389" s="178">
        <v>1</v>
      </c>
      <c r="J389" s="215">
        <v>0.0372</v>
      </c>
    </row>
    <row r="390" spans="1:10">
      <c r="A390" s="176">
        <v>383</v>
      </c>
      <c r="B390" s="178" t="s">
        <v>562</v>
      </c>
      <c r="C390" s="178" t="s">
        <v>146</v>
      </c>
      <c r="D390" s="178" t="s">
        <v>32</v>
      </c>
      <c r="E390" s="178" t="s">
        <v>115</v>
      </c>
      <c r="F390" s="178">
        <v>744</v>
      </c>
      <c r="G390" s="178">
        <v>80</v>
      </c>
      <c r="H390" s="178">
        <v>18</v>
      </c>
      <c r="I390" s="178">
        <v>1</v>
      </c>
      <c r="J390" s="215">
        <v>0.0595</v>
      </c>
    </row>
    <row r="391" spans="1:10">
      <c r="A391" s="176">
        <v>384</v>
      </c>
      <c r="B391" s="178" t="s">
        <v>562</v>
      </c>
      <c r="C391" s="178" t="s">
        <v>223</v>
      </c>
      <c r="D391" s="178" t="s">
        <v>32</v>
      </c>
      <c r="E391" s="178" t="s">
        <v>111</v>
      </c>
      <c r="F391" s="178">
        <v>2440</v>
      </c>
      <c r="G391" s="178">
        <v>600</v>
      </c>
      <c r="H391" s="178">
        <v>18</v>
      </c>
      <c r="I391" s="178">
        <v>1</v>
      </c>
      <c r="J391" s="215">
        <v>1.464</v>
      </c>
    </row>
    <row r="392" spans="1:10">
      <c r="A392" s="176">
        <v>385</v>
      </c>
      <c r="B392" s="178" t="s">
        <v>562</v>
      </c>
      <c r="C392" s="178" t="s">
        <v>31</v>
      </c>
      <c r="D392" s="178" t="s">
        <v>32</v>
      </c>
      <c r="E392" s="178" t="s">
        <v>111</v>
      </c>
      <c r="F392" s="178">
        <v>739</v>
      </c>
      <c r="G392" s="178">
        <v>369</v>
      </c>
      <c r="H392" s="178">
        <v>18</v>
      </c>
      <c r="I392" s="178">
        <v>1</v>
      </c>
      <c r="J392" s="215">
        <v>0.2727</v>
      </c>
    </row>
    <row r="393" spans="1:10">
      <c r="A393" s="176">
        <v>386</v>
      </c>
      <c r="B393" s="178" t="s">
        <v>562</v>
      </c>
      <c r="C393" s="178" t="s">
        <v>35</v>
      </c>
      <c r="D393" s="178" t="s">
        <v>32</v>
      </c>
      <c r="E393" s="178" t="s">
        <v>111</v>
      </c>
      <c r="F393" s="178">
        <v>739</v>
      </c>
      <c r="G393" s="178">
        <v>369</v>
      </c>
      <c r="H393" s="178">
        <v>18</v>
      </c>
      <c r="I393" s="178">
        <v>1</v>
      </c>
      <c r="J393" s="215">
        <v>0.2727</v>
      </c>
    </row>
    <row r="394" spans="1:10">
      <c r="A394" s="176">
        <v>387</v>
      </c>
      <c r="B394" s="178" t="s">
        <v>562</v>
      </c>
      <c r="C394" s="178" t="s">
        <v>31</v>
      </c>
      <c r="D394" s="178" t="s">
        <v>32</v>
      </c>
      <c r="E394" s="178" t="s">
        <v>111</v>
      </c>
      <c r="F394" s="178">
        <v>1665</v>
      </c>
      <c r="G394" s="178">
        <v>369</v>
      </c>
      <c r="H394" s="178">
        <v>18</v>
      </c>
      <c r="I394" s="178">
        <v>1</v>
      </c>
      <c r="J394" s="215">
        <v>0.6144</v>
      </c>
    </row>
    <row r="395" spans="1:10">
      <c r="A395" s="176">
        <v>388</v>
      </c>
      <c r="B395" s="178" t="s">
        <v>562</v>
      </c>
      <c r="C395" s="178" t="s">
        <v>35</v>
      </c>
      <c r="D395" s="178" t="s">
        <v>32</v>
      </c>
      <c r="E395" s="178" t="s">
        <v>111</v>
      </c>
      <c r="F395" s="178">
        <v>1665</v>
      </c>
      <c r="G395" s="178">
        <v>369</v>
      </c>
      <c r="H395" s="178">
        <v>18</v>
      </c>
      <c r="I395" s="178">
        <v>1</v>
      </c>
      <c r="J395" s="215">
        <v>0.6144</v>
      </c>
    </row>
    <row r="396" spans="1:10">
      <c r="A396" s="176">
        <v>389</v>
      </c>
      <c r="B396" s="178" t="s">
        <v>563</v>
      </c>
      <c r="C396" s="178" t="s">
        <v>110</v>
      </c>
      <c r="D396" s="178" t="s">
        <v>32</v>
      </c>
      <c r="E396" s="178" t="s">
        <v>111</v>
      </c>
      <c r="F396" s="178">
        <v>2455</v>
      </c>
      <c r="G396" s="178">
        <v>295</v>
      </c>
      <c r="H396" s="178">
        <v>18</v>
      </c>
      <c r="I396" s="178">
        <v>1</v>
      </c>
      <c r="J396" s="215">
        <v>0.7242</v>
      </c>
    </row>
    <row r="397" spans="1:10">
      <c r="A397" s="176">
        <v>390</v>
      </c>
      <c r="B397" s="178" t="s">
        <v>563</v>
      </c>
      <c r="C397" s="178" t="s">
        <v>131</v>
      </c>
      <c r="D397" s="178" t="s">
        <v>32</v>
      </c>
      <c r="E397" s="178" t="s">
        <v>111</v>
      </c>
      <c r="F397" s="178">
        <v>2455</v>
      </c>
      <c r="G397" s="178">
        <v>50</v>
      </c>
      <c r="H397" s="178">
        <v>18</v>
      </c>
      <c r="I397" s="178">
        <v>1</v>
      </c>
      <c r="J397" s="215">
        <v>0.1228</v>
      </c>
    </row>
    <row r="398" spans="1:10">
      <c r="A398" s="176">
        <v>391</v>
      </c>
      <c r="B398" s="178" t="s">
        <v>563</v>
      </c>
      <c r="C398" s="178" t="s">
        <v>110</v>
      </c>
      <c r="D398" s="178" t="s">
        <v>32</v>
      </c>
      <c r="E398" s="178" t="s">
        <v>115</v>
      </c>
      <c r="F398" s="178">
        <v>2405</v>
      </c>
      <c r="G398" s="178">
        <v>295</v>
      </c>
      <c r="H398" s="178">
        <v>18</v>
      </c>
      <c r="I398" s="178">
        <v>1</v>
      </c>
      <c r="J398" s="215">
        <v>0.7095</v>
      </c>
    </row>
    <row r="399" spans="1:10">
      <c r="A399" s="176">
        <v>392</v>
      </c>
      <c r="B399" s="178" t="s">
        <v>563</v>
      </c>
      <c r="C399" s="178" t="s">
        <v>199</v>
      </c>
      <c r="D399" s="178" t="s">
        <v>32</v>
      </c>
      <c r="E399" s="178" t="s">
        <v>115</v>
      </c>
      <c r="F399" s="178">
        <v>400</v>
      </c>
      <c r="G399" s="178">
        <v>60</v>
      </c>
      <c r="H399" s="178">
        <v>18</v>
      </c>
      <c r="I399" s="178">
        <v>1</v>
      </c>
      <c r="J399" s="215">
        <v>0.024</v>
      </c>
    </row>
    <row r="400" spans="1:10">
      <c r="A400" s="176">
        <v>393</v>
      </c>
      <c r="B400" s="178" t="s">
        <v>563</v>
      </c>
      <c r="C400" s="178" t="s">
        <v>199</v>
      </c>
      <c r="D400" s="178" t="s">
        <v>32</v>
      </c>
      <c r="E400" s="178" t="s">
        <v>115</v>
      </c>
      <c r="F400" s="178">
        <v>400</v>
      </c>
      <c r="G400" s="178">
        <v>60</v>
      </c>
      <c r="H400" s="178">
        <v>18</v>
      </c>
      <c r="I400" s="178">
        <v>1</v>
      </c>
      <c r="J400" s="215">
        <v>0.024</v>
      </c>
    </row>
    <row r="401" spans="1:10">
      <c r="A401" s="176">
        <v>394</v>
      </c>
      <c r="B401" s="178" t="s">
        <v>563</v>
      </c>
      <c r="C401" s="178" t="s">
        <v>117</v>
      </c>
      <c r="D401" s="178" t="s">
        <v>32</v>
      </c>
      <c r="E401" s="178" t="s">
        <v>115</v>
      </c>
      <c r="F401" s="178">
        <v>400</v>
      </c>
      <c r="G401" s="178">
        <v>295</v>
      </c>
      <c r="H401" s="178">
        <v>18</v>
      </c>
      <c r="I401" s="178">
        <v>1</v>
      </c>
      <c r="J401" s="215">
        <v>0.118</v>
      </c>
    </row>
    <row r="402" spans="1:10">
      <c r="A402" s="176">
        <v>395</v>
      </c>
      <c r="B402" s="178" t="s">
        <v>563</v>
      </c>
      <c r="C402" s="178" t="s">
        <v>114</v>
      </c>
      <c r="D402" s="178" t="s">
        <v>32</v>
      </c>
      <c r="E402" s="178" t="s">
        <v>115</v>
      </c>
      <c r="F402" s="178">
        <v>438</v>
      </c>
      <c r="G402" s="178">
        <v>410</v>
      </c>
      <c r="H402" s="178">
        <v>9</v>
      </c>
      <c r="I402" s="178">
        <v>1</v>
      </c>
      <c r="J402" s="215">
        <v>0.1796</v>
      </c>
    </row>
    <row r="403" spans="1:10">
      <c r="A403" s="176">
        <v>396</v>
      </c>
      <c r="B403" s="178" t="s">
        <v>563</v>
      </c>
      <c r="C403" s="178" t="s">
        <v>129</v>
      </c>
      <c r="D403" s="178" t="s">
        <v>32</v>
      </c>
      <c r="E403" s="178" t="s">
        <v>115</v>
      </c>
      <c r="F403" s="178">
        <v>400</v>
      </c>
      <c r="G403" s="178">
        <v>290</v>
      </c>
      <c r="H403" s="178">
        <v>18</v>
      </c>
      <c r="I403" s="178">
        <v>1</v>
      </c>
      <c r="J403" s="215">
        <v>0.116</v>
      </c>
    </row>
    <row r="404" spans="1:10">
      <c r="A404" s="176">
        <v>397</v>
      </c>
      <c r="B404" s="178" t="s">
        <v>563</v>
      </c>
      <c r="C404" s="178" t="s">
        <v>114</v>
      </c>
      <c r="D404" s="178" t="s">
        <v>32</v>
      </c>
      <c r="E404" s="178" t="s">
        <v>115</v>
      </c>
      <c r="F404" s="178">
        <v>438</v>
      </c>
      <c r="G404" s="178">
        <v>410</v>
      </c>
      <c r="H404" s="178">
        <v>9</v>
      </c>
      <c r="I404" s="178">
        <v>1</v>
      </c>
      <c r="J404" s="215">
        <v>0.1796</v>
      </c>
    </row>
    <row r="405" spans="1:10">
      <c r="A405" s="176">
        <v>398</v>
      </c>
      <c r="B405" s="178" t="s">
        <v>563</v>
      </c>
      <c r="C405" s="178" t="s">
        <v>129</v>
      </c>
      <c r="D405" s="178" t="s">
        <v>32</v>
      </c>
      <c r="E405" s="178" t="s">
        <v>115</v>
      </c>
      <c r="F405" s="178">
        <v>400</v>
      </c>
      <c r="G405" s="178">
        <v>290</v>
      </c>
      <c r="H405" s="178">
        <v>18</v>
      </c>
      <c r="I405" s="178">
        <v>1</v>
      </c>
      <c r="J405" s="215">
        <v>0.116</v>
      </c>
    </row>
    <row r="406" spans="1:10">
      <c r="A406" s="176">
        <v>399</v>
      </c>
      <c r="B406" s="178" t="s">
        <v>563</v>
      </c>
      <c r="C406" s="178" t="s">
        <v>114</v>
      </c>
      <c r="D406" s="178" t="s">
        <v>32</v>
      </c>
      <c r="E406" s="178" t="s">
        <v>115</v>
      </c>
      <c r="F406" s="178">
        <v>438</v>
      </c>
      <c r="G406" s="178">
        <v>410</v>
      </c>
      <c r="H406" s="178">
        <v>9</v>
      </c>
      <c r="I406" s="178">
        <v>1</v>
      </c>
      <c r="J406" s="215">
        <v>0.1796</v>
      </c>
    </row>
    <row r="407" spans="1:10">
      <c r="A407" s="176">
        <v>400</v>
      </c>
      <c r="B407" s="178" t="s">
        <v>563</v>
      </c>
      <c r="C407" s="178" t="s">
        <v>129</v>
      </c>
      <c r="D407" s="178" t="s">
        <v>32</v>
      </c>
      <c r="E407" s="178" t="s">
        <v>115</v>
      </c>
      <c r="F407" s="178">
        <v>400</v>
      </c>
      <c r="G407" s="178">
        <v>295</v>
      </c>
      <c r="H407" s="178">
        <v>18</v>
      </c>
      <c r="I407" s="178">
        <v>1</v>
      </c>
      <c r="J407" s="215">
        <v>0.118</v>
      </c>
    </row>
    <row r="408" spans="1:10">
      <c r="A408" s="176">
        <v>401</v>
      </c>
      <c r="B408" s="178" t="s">
        <v>563</v>
      </c>
      <c r="C408" s="178" t="s">
        <v>114</v>
      </c>
      <c r="D408" s="178" t="s">
        <v>32</v>
      </c>
      <c r="E408" s="178" t="s">
        <v>115</v>
      </c>
      <c r="F408" s="178">
        <v>486</v>
      </c>
      <c r="G408" s="178">
        <v>410</v>
      </c>
      <c r="H408" s="178">
        <v>9</v>
      </c>
      <c r="I408" s="178">
        <v>1</v>
      </c>
      <c r="J408" s="215">
        <v>0.1993</v>
      </c>
    </row>
    <row r="409" spans="1:10">
      <c r="A409" s="176">
        <v>402</v>
      </c>
      <c r="B409" s="178" t="s">
        <v>563</v>
      </c>
      <c r="C409" s="178" t="s">
        <v>129</v>
      </c>
      <c r="D409" s="178" t="s">
        <v>32</v>
      </c>
      <c r="E409" s="178" t="s">
        <v>115</v>
      </c>
      <c r="F409" s="178">
        <v>400</v>
      </c>
      <c r="G409" s="178">
        <v>290</v>
      </c>
      <c r="H409" s="178">
        <v>18</v>
      </c>
      <c r="I409" s="178">
        <v>1</v>
      </c>
      <c r="J409" s="215">
        <v>0.116</v>
      </c>
    </row>
    <row r="410" spans="1:10">
      <c r="A410" s="176">
        <v>403</v>
      </c>
      <c r="B410" s="178" t="s">
        <v>563</v>
      </c>
      <c r="C410" s="178" t="s">
        <v>114</v>
      </c>
      <c r="D410" s="178" t="s">
        <v>32</v>
      </c>
      <c r="E410" s="178" t="s">
        <v>115</v>
      </c>
      <c r="F410" s="178">
        <v>487</v>
      </c>
      <c r="G410" s="178">
        <v>410</v>
      </c>
      <c r="H410" s="178">
        <v>9</v>
      </c>
      <c r="I410" s="178">
        <v>1</v>
      </c>
      <c r="J410" s="215">
        <v>0.1997</v>
      </c>
    </row>
    <row r="411" spans="1:10">
      <c r="A411" s="176">
        <v>404</v>
      </c>
      <c r="B411" s="178" t="s">
        <v>563</v>
      </c>
      <c r="C411" s="178" t="s">
        <v>221</v>
      </c>
      <c r="D411" s="178" t="s">
        <v>32</v>
      </c>
      <c r="E411" s="178" t="s">
        <v>115</v>
      </c>
      <c r="F411" s="178">
        <v>2387</v>
      </c>
      <c r="G411" s="178">
        <v>295</v>
      </c>
      <c r="H411" s="178">
        <v>18</v>
      </c>
      <c r="I411" s="178">
        <v>1</v>
      </c>
      <c r="J411" s="215">
        <v>0.7042</v>
      </c>
    </row>
    <row r="412" spans="1:10">
      <c r="A412" s="176">
        <v>405</v>
      </c>
      <c r="B412" s="178" t="s">
        <v>563</v>
      </c>
      <c r="C412" s="178" t="s">
        <v>117</v>
      </c>
      <c r="D412" s="178" t="s">
        <v>32</v>
      </c>
      <c r="E412" s="178" t="s">
        <v>115</v>
      </c>
      <c r="F412" s="178">
        <v>1969</v>
      </c>
      <c r="G412" s="178">
        <v>297</v>
      </c>
      <c r="H412" s="178">
        <v>18</v>
      </c>
      <c r="I412" s="178">
        <v>1</v>
      </c>
      <c r="J412" s="215">
        <v>0.5848</v>
      </c>
    </row>
    <row r="413" spans="1:10">
      <c r="A413" s="176">
        <v>406</v>
      </c>
      <c r="B413" s="178" t="s">
        <v>563</v>
      </c>
      <c r="C413" s="178" t="s">
        <v>114</v>
      </c>
      <c r="D413" s="178" t="s">
        <v>32</v>
      </c>
      <c r="E413" s="178" t="s">
        <v>115</v>
      </c>
      <c r="F413" s="178">
        <v>1398</v>
      </c>
      <c r="G413" s="178">
        <v>984</v>
      </c>
      <c r="H413" s="178">
        <v>18</v>
      </c>
      <c r="I413" s="178">
        <v>1</v>
      </c>
      <c r="J413" s="215">
        <v>1.3756</v>
      </c>
    </row>
    <row r="414" spans="1:10">
      <c r="A414" s="176">
        <v>407</v>
      </c>
      <c r="B414" s="178" t="s">
        <v>563</v>
      </c>
      <c r="C414" s="178" t="s">
        <v>114</v>
      </c>
      <c r="D414" s="178" t="s">
        <v>32</v>
      </c>
      <c r="E414" s="178" t="s">
        <v>115</v>
      </c>
      <c r="F414" s="178">
        <v>1398</v>
      </c>
      <c r="G414" s="178">
        <v>985</v>
      </c>
      <c r="H414" s="178">
        <v>18</v>
      </c>
      <c r="I414" s="178">
        <v>1</v>
      </c>
      <c r="J414" s="215">
        <v>1.377</v>
      </c>
    </row>
    <row r="415" spans="1:10">
      <c r="A415" s="176">
        <v>408</v>
      </c>
      <c r="B415" s="178" t="s">
        <v>563</v>
      </c>
      <c r="C415" s="178" t="s">
        <v>129</v>
      </c>
      <c r="D415" s="178" t="s">
        <v>32</v>
      </c>
      <c r="E415" s="178" t="s">
        <v>115</v>
      </c>
      <c r="F415" s="178">
        <v>1969</v>
      </c>
      <c r="G415" s="178">
        <v>295</v>
      </c>
      <c r="H415" s="178">
        <v>18</v>
      </c>
      <c r="I415" s="178">
        <v>1</v>
      </c>
      <c r="J415" s="215">
        <v>0.5809</v>
      </c>
    </row>
    <row r="416" spans="1:10">
      <c r="A416" s="176">
        <v>409</v>
      </c>
      <c r="B416" s="178" t="s">
        <v>563</v>
      </c>
      <c r="C416" s="178" t="s">
        <v>114</v>
      </c>
      <c r="D416" s="178" t="s">
        <v>32</v>
      </c>
      <c r="E416" s="178" t="s">
        <v>115</v>
      </c>
      <c r="F416" s="178">
        <v>321</v>
      </c>
      <c r="G416" s="178">
        <v>985</v>
      </c>
      <c r="H416" s="178">
        <v>9</v>
      </c>
      <c r="I416" s="178">
        <v>1</v>
      </c>
      <c r="J416" s="215">
        <v>0.3162</v>
      </c>
    </row>
    <row r="417" spans="1:10">
      <c r="A417" s="176">
        <v>410</v>
      </c>
      <c r="B417" s="178" t="s">
        <v>563</v>
      </c>
      <c r="C417" s="178" t="s">
        <v>129</v>
      </c>
      <c r="D417" s="178" t="s">
        <v>32</v>
      </c>
      <c r="E417" s="178" t="s">
        <v>115</v>
      </c>
      <c r="F417" s="178">
        <v>975</v>
      </c>
      <c r="G417" s="178">
        <v>290</v>
      </c>
      <c r="H417" s="178">
        <v>18</v>
      </c>
      <c r="I417" s="178">
        <v>1</v>
      </c>
      <c r="J417" s="215">
        <v>0.2828</v>
      </c>
    </row>
    <row r="418" spans="1:10">
      <c r="A418" s="176">
        <v>411</v>
      </c>
      <c r="B418" s="178" t="s">
        <v>563</v>
      </c>
      <c r="C418" s="178" t="s">
        <v>114</v>
      </c>
      <c r="D418" s="178" t="s">
        <v>32</v>
      </c>
      <c r="E418" s="178" t="s">
        <v>115</v>
      </c>
      <c r="F418" s="178">
        <v>321</v>
      </c>
      <c r="G418" s="178">
        <v>985</v>
      </c>
      <c r="H418" s="178">
        <v>9</v>
      </c>
      <c r="I418" s="178">
        <v>1</v>
      </c>
      <c r="J418" s="215">
        <v>0.3162</v>
      </c>
    </row>
    <row r="419" spans="1:10">
      <c r="A419" s="176">
        <v>412</v>
      </c>
      <c r="B419" s="178" t="s">
        <v>563</v>
      </c>
      <c r="C419" s="178" t="s">
        <v>129</v>
      </c>
      <c r="D419" s="178" t="s">
        <v>32</v>
      </c>
      <c r="E419" s="178" t="s">
        <v>115</v>
      </c>
      <c r="F419" s="178">
        <v>975</v>
      </c>
      <c r="G419" s="178">
        <v>290</v>
      </c>
      <c r="H419" s="178">
        <v>18</v>
      </c>
      <c r="I419" s="178">
        <v>1</v>
      </c>
      <c r="J419" s="215">
        <v>0.2828</v>
      </c>
    </row>
    <row r="420" spans="1:10">
      <c r="A420" s="176">
        <v>413</v>
      </c>
      <c r="B420" s="178" t="s">
        <v>563</v>
      </c>
      <c r="C420" s="178" t="s">
        <v>114</v>
      </c>
      <c r="D420" s="178" t="s">
        <v>32</v>
      </c>
      <c r="E420" s="178" t="s">
        <v>115</v>
      </c>
      <c r="F420" s="178">
        <v>323</v>
      </c>
      <c r="G420" s="178">
        <v>985</v>
      </c>
      <c r="H420" s="178">
        <v>9</v>
      </c>
      <c r="I420" s="178">
        <v>1</v>
      </c>
      <c r="J420" s="215">
        <v>0.3182</v>
      </c>
    </row>
    <row r="421" spans="1:10">
      <c r="A421" s="176">
        <v>414</v>
      </c>
      <c r="B421" s="178" t="s">
        <v>563</v>
      </c>
      <c r="C421" s="178" t="s">
        <v>221</v>
      </c>
      <c r="D421" s="178" t="s">
        <v>32</v>
      </c>
      <c r="E421" s="178" t="s">
        <v>115</v>
      </c>
      <c r="F421" s="178">
        <v>971</v>
      </c>
      <c r="G421" s="178">
        <v>295</v>
      </c>
      <c r="H421" s="178">
        <v>18</v>
      </c>
      <c r="I421" s="178">
        <v>1</v>
      </c>
      <c r="J421" s="215">
        <v>0.2864</v>
      </c>
    </row>
    <row r="422" spans="1:10">
      <c r="A422" s="176">
        <v>415</v>
      </c>
      <c r="B422" s="178" t="s">
        <v>563</v>
      </c>
      <c r="C422" s="178" t="s">
        <v>114</v>
      </c>
      <c r="D422" s="178" t="s">
        <v>32</v>
      </c>
      <c r="E422" s="178" t="s">
        <v>115</v>
      </c>
      <c r="F422" s="178">
        <v>321</v>
      </c>
      <c r="G422" s="178">
        <v>986</v>
      </c>
      <c r="H422" s="178">
        <v>9</v>
      </c>
      <c r="I422" s="178">
        <v>1</v>
      </c>
      <c r="J422" s="215">
        <v>0.3165</v>
      </c>
    </row>
    <row r="423" spans="1:10">
      <c r="A423" s="176">
        <v>416</v>
      </c>
      <c r="B423" s="178" t="s">
        <v>563</v>
      </c>
      <c r="C423" s="178" t="s">
        <v>129</v>
      </c>
      <c r="D423" s="178" t="s">
        <v>32</v>
      </c>
      <c r="E423" s="178" t="s">
        <v>115</v>
      </c>
      <c r="F423" s="178">
        <v>976</v>
      </c>
      <c r="G423" s="178">
        <v>290</v>
      </c>
      <c r="H423" s="178">
        <v>18</v>
      </c>
      <c r="I423" s="178">
        <v>1</v>
      </c>
      <c r="J423" s="215">
        <v>0.283</v>
      </c>
    </row>
    <row r="424" spans="1:10">
      <c r="A424" s="176">
        <v>417</v>
      </c>
      <c r="B424" s="178" t="s">
        <v>563</v>
      </c>
      <c r="C424" s="178" t="s">
        <v>114</v>
      </c>
      <c r="D424" s="178" t="s">
        <v>32</v>
      </c>
      <c r="E424" s="178" t="s">
        <v>115</v>
      </c>
      <c r="F424" s="178">
        <v>321</v>
      </c>
      <c r="G424" s="178">
        <v>986</v>
      </c>
      <c r="H424" s="178">
        <v>9</v>
      </c>
      <c r="I424" s="178">
        <v>1</v>
      </c>
      <c r="J424" s="215">
        <v>0.3165</v>
      </c>
    </row>
    <row r="425" spans="1:10">
      <c r="A425" s="176">
        <v>418</v>
      </c>
      <c r="B425" s="178" t="s">
        <v>563</v>
      </c>
      <c r="C425" s="178" t="s">
        <v>129</v>
      </c>
      <c r="D425" s="178" t="s">
        <v>32</v>
      </c>
      <c r="E425" s="178" t="s">
        <v>115</v>
      </c>
      <c r="F425" s="178">
        <v>976</v>
      </c>
      <c r="G425" s="178">
        <v>290</v>
      </c>
      <c r="H425" s="178">
        <v>18</v>
      </c>
      <c r="I425" s="178">
        <v>1</v>
      </c>
      <c r="J425" s="215">
        <v>0.283</v>
      </c>
    </row>
    <row r="426" spans="1:10">
      <c r="A426" s="176">
        <v>419</v>
      </c>
      <c r="B426" s="178" t="s">
        <v>563</v>
      </c>
      <c r="C426" s="178" t="s">
        <v>114</v>
      </c>
      <c r="D426" s="178" t="s">
        <v>32</v>
      </c>
      <c r="E426" s="178" t="s">
        <v>115</v>
      </c>
      <c r="F426" s="178">
        <v>323</v>
      </c>
      <c r="G426" s="178">
        <v>986</v>
      </c>
      <c r="H426" s="178">
        <v>9</v>
      </c>
      <c r="I426" s="178">
        <v>1</v>
      </c>
      <c r="J426" s="215">
        <v>0.3185</v>
      </c>
    </row>
    <row r="427" spans="1:10">
      <c r="A427" s="176">
        <v>420</v>
      </c>
      <c r="B427" s="178" t="s">
        <v>563</v>
      </c>
      <c r="C427" s="178" t="s">
        <v>142</v>
      </c>
      <c r="D427" s="178" t="s">
        <v>32</v>
      </c>
      <c r="E427" s="178" t="s">
        <v>115</v>
      </c>
      <c r="F427" s="178">
        <v>2387</v>
      </c>
      <c r="G427" s="178">
        <v>295</v>
      </c>
      <c r="H427" s="178">
        <v>18</v>
      </c>
      <c r="I427" s="178">
        <v>1</v>
      </c>
      <c r="J427" s="215">
        <v>0.7042</v>
      </c>
    </row>
    <row r="428" spans="1:10">
      <c r="A428" s="176">
        <v>421</v>
      </c>
      <c r="B428" s="178" t="s">
        <v>563</v>
      </c>
      <c r="C428" s="178" t="s">
        <v>223</v>
      </c>
      <c r="D428" s="178" t="s">
        <v>32</v>
      </c>
      <c r="E428" s="178" t="s">
        <v>115</v>
      </c>
      <c r="F428" s="178">
        <v>2405</v>
      </c>
      <c r="G428" s="178">
        <v>295</v>
      </c>
      <c r="H428" s="178">
        <v>18</v>
      </c>
      <c r="I428" s="178">
        <v>1</v>
      </c>
      <c r="J428" s="215">
        <v>0.7095</v>
      </c>
    </row>
    <row r="429" spans="1:10">
      <c r="A429" s="176">
        <v>422</v>
      </c>
      <c r="B429" s="178" t="s">
        <v>563</v>
      </c>
      <c r="C429" s="178" t="s">
        <v>131</v>
      </c>
      <c r="D429" s="178" t="s">
        <v>32</v>
      </c>
      <c r="E429" s="178" t="s">
        <v>111</v>
      </c>
      <c r="F429" s="178">
        <v>2455</v>
      </c>
      <c r="G429" s="178">
        <v>50</v>
      </c>
      <c r="H429" s="178">
        <v>18</v>
      </c>
      <c r="I429" s="178">
        <v>1</v>
      </c>
      <c r="J429" s="215">
        <v>0.1228</v>
      </c>
    </row>
    <row r="430" spans="1:10">
      <c r="A430" s="176">
        <v>423</v>
      </c>
      <c r="B430" s="178" t="s">
        <v>563</v>
      </c>
      <c r="C430" s="178" t="s">
        <v>145</v>
      </c>
      <c r="D430" s="178" t="s">
        <v>32</v>
      </c>
      <c r="E430" s="178" t="s">
        <v>115</v>
      </c>
      <c r="F430" s="178">
        <v>2487</v>
      </c>
      <c r="G430" s="178">
        <v>50</v>
      </c>
      <c r="H430" s="178">
        <v>18</v>
      </c>
      <c r="I430" s="178">
        <v>1</v>
      </c>
      <c r="J430" s="215">
        <v>0.1244</v>
      </c>
    </row>
    <row r="431" spans="1:10">
      <c r="A431" s="176">
        <v>424</v>
      </c>
      <c r="B431" s="178" t="s">
        <v>563</v>
      </c>
      <c r="C431" s="178" t="s">
        <v>146</v>
      </c>
      <c r="D431" s="178" t="s">
        <v>32</v>
      </c>
      <c r="E431" s="178" t="s">
        <v>115</v>
      </c>
      <c r="F431" s="178">
        <v>2487</v>
      </c>
      <c r="G431" s="178">
        <v>80</v>
      </c>
      <c r="H431" s="178">
        <v>18</v>
      </c>
      <c r="I431" s="178">
        <v>1</v>
      </c>
      <c r="J431" s="215">
        <v>0.199</v>
      </c>
    </row>
    <row r="432" spans="1:10">
      <c r="A432" s="176">
        <v>425</v>
      </c>
      <c r="B432" s="178" t="s">
        <v>563</v>
      </c>
      <c r="C432" s="178" t="s">
        <v>31</v>
      </c>
      <c r="D432" s="178" t="s">
        <v>32</v>
      </c>
      <c r="E432" s="178" t="s">
        <v>111</v>
      </c>
      <c r="F432" s="178">
        <v>1035</v>
      </c>
      <c r="G432" s="178">
        <v>489.25</v>
      </c>
      <c r="H432" s="178">
        <v>18</v>
      </c>
      <c r="I432" s="178">
        <v>1</v>
      </c>
      <c r="J432" s="215">
        <v>0.5064</v>
      </c>
    </row>
    <row r="433" spans="1:10">
      <c r="A433" s="176">
        <v>426</v>
      </c>
      <c r="B433" s="178" t="s">
        <v>563</v>
      </c>
      <c r="C433" s="178" t="s">
        <v>35</v>
      </c>
      <c r="D433" s="178" t="s">
        <v>32</v>
      </c>
      <c r="E433" s="178" t="s">
        <v>111</v>
      </c>
      <c r="F433" s="178">
        <v>1035</v>
      </c>
      <c r="G433" s="178">
        <v>489.25</v>
      </c>
      <c r="H433" s="178">
        <v>18</v>
      </c>
      <c r="I433" s="178">
        <v>1</v>
      </c>
      <c r="J433" s="215">
        <v>0.5064</v>
      </c>
    </row>
    <row r="434" spans="1:10">
      <c r="A434" s="176">
        <v>427</v>
      </c>
      <c r="B434" s="178" t="s">
        <v>563</v>
      </c>
      <c r="C434" s="178" t="s">
        <v>31</v>
      </c>
      <c r="D434" s="178" t="s">
        <v>32</v>
      </c>
      <c r="E434" s="178" t="s">
        <v>111</v>
      </c>
      <c r="F434" s="178">
        <v>1035</v>
      </c>
      <c r="G434" s="178">
        <v>489.25</v>
      </c>
      <c r="H434" s="178">
        <v>18</v>
      </c>
      <c r="I434" s="178">
        <v>1</v>
      </c>
      <c r="J434" s="215">
        <v>0.5064</v>
      </c>
    </row>
    <row r="435" spans="1:10">
      <c r="A435" s="176">
        <v>428</v>
      </c>
      <c r="B435" s="178" t="s">
        <v>563</v>
      </c>
      <c r="C435" s="178" t="s">
        <v>35</v>
      </c>
      <c r="D435" s="178" t="s">
        <v>32</v>
      </c>
      <c r="E435" s="178" t="s">
        <v>111</v>
      </c>
      <c r="F435" s="178">
        <v>1035</v>
      </c>
      <c r="G435" s="178">
        <v>489.25</v>
      </c>
      <c r="H435" s="178">
        <v>18</v>
      </c>
      <c r="I435" s="178">
        <v>1</v>
      </c>
      <c r="J435" s="215">
        <v>0.5064</v>
      </c>
    </row>
    <row r="436" spans="1:10">
      <c r="A436" s="176">
        <v>429</v>
      </c>
      <c r="B436" s="178" t="s">
        <v>563</v>
      </c>
      <c r="C436" s="178" t="s">
        <v>31</v>
      </c>
      <c r="D436" s="178" t="s">
        <v>32</v>
      </c>
      <c r="E436" s="178" t="s">
        <v>111</v>
      </c>
      <c r="F436" s="178">
        <v>1035</v>
      </c>
      <c r="G436" s="178">
        <v>433</v>
      </c>
      <c r="H436" s="178">
        <v>18</v>
      </c>
      <c r="I436" s="178">
        <v>1</v>
      </c>
      <c r="J436" s="215">
        <v>0.4482</v>
      </c>
    </row>
    <row r="437" spans="1:10">
      <c r="A437" s="176">
        <v>430</v>
      </c>
      <c r="B437" s="178" t="s">
        <v>563</v>
      </c>
      <c r="C437" s="178" t="s">
        <v>31</v>
      </c>
      <c r="D437" s="178" t="s">
        <v>32</v>
      </c>
      <c r="E437" s="178" t="s">
        <v>111</v>
      </c>
      <c r="F437" s="178">
        <v>1384</v>
      </c>
      <c r="G437" s="178">
        <v>433</v>
      </c>
      <c r="H437" s="178">
        <v>18</v>
      </c>
      <c r="I437" s="178">
        <v>1</v>
      </c>
      <c r="J437" s="215">
        <v>0.5993</v>
      </c>
    </row>
    <row r="438" spans="1:10">
      <c r="A438" s="176">
        <v>431</v>
      </c>
      <c r="B438" s="178" t="s">
        <v>563</v>
      </c>
      <c r="C438" s="178" t="s">
        <v>31</v>
      </c>
      <c r="D438" s="178" t="s">
        <v>32</v>
      </c>
      <c r="E438" s="178" t="s">
        <v>111</v>
      </c>
      <c r="F438" s="178">
        <v>1384</v>
      </c>
      <c r="G438" s="178">
        <v>489.25</v>
      </c>
      <c r="H438" s="178">
        <v>18</v>
      </c>
      <c r="I438" s="178">
        <v>1</v>
      </c>
      <c r="J438" s="215">
        <v>0.6771</v>
      </c>
    </row>
    <row r="439" spans="1:10">
      <c r="A439" s="176">
        <v>432</v>
      </c>
      <c r="B439" s="178" t="s">
        <v>563</v>
      </c>
      <c r="C439" s="178" t="s">
        <v>35</v>
      </c>
      <c r="D439" s="178" t="s">
        <v>32</v>
      </c>
      <c r="E439" s="178" t="s">
        <v>111</v>
      </c>
      <c r="F439" s="178">
        <v>1384</v>
      </c>
      <c r="G439" s="178">
        <v>489.25</v>
      </c>
      <c r="H439" s="178">
        <v>18</v>
      </c>
      <c r="I439" s="178">
        <v>1</v>
      </c>
      <c r="J439" s="215">
        <v>0.6771</v>
      </c>
    </row>
    <row r="440" spans="1:10">
      <c r="A440" s="176">
        <v>433</v>
      </c>
      <c r="B440" s="178" t="s">
        <v>563</v>
      </c>
      <c r="C440" s="178" t="s">
        <v>31</v>
      </c>
      <c r="D440" s="178" t="s">
        <v>32</v>
      </c>
      <c r="E440" s="178" t="s">
        <v>111</v>
      </c>
      <c r="F440" s="178">
        <v>1384</v>
      </c>
      <c r="G440" s="178">
        <v>489.25</v>
      </c>
      <c r="H440" s="178">
        <v>18</v>
      </c>
      <c r="I440" s="178">
        <v>1</v>
      </c>
      <c r="J440" s="215">
        <v>0.6771</v>
      </c>
    </row>
    <row r="441" spans="1:10">
      <c r="A441" s="176">
        <v>434</v>
      </c>
      <c r="B441" s="178" t="s">
        <v>563</v>
      </c>
      <c r="C441" s="178" t="s">
        <v>35</v>
      </c>
      <c r="D441" s="178" t="s">
        <v>32</v>
      </c>
      <c r="E441" s="178" t="s">
        <v>111</v>
      </c>
      <c r="F441" s="178">
        <v>1384</v>
      </c>
      <c r="G441" s="178">
        <v>489.25</v>
      </c>
      <c r="H441" s="178">
        <v>18</v>
      </c>
      <c r="I441" s="178">
        <v>1</v>
      </c>
      <c r="J441" s="215">
        <v>0.6771</v>
      </c>
    </row>
    <row r="442" spans="1:10">
      <c r="A442" s="176">
        <v>435</v>
      </c>
      <c r="B442" s="178" t="s">
        <v>564</v>
      </c>
      <c r="C442" s="178" t="s">
        <v>131</v>
      </c>
      <c r="D442" s="178" t="s">
        <v>32</v>
      </c>
      <c r="E442" s="178" t="s">
        <v>111</v>
      </c>
      <c r="F442" s="178">
        <v>2295</v>
      </c>
      <c r="G442" s="178">
        <v>50</v>
      </c>
      <c r="H442" s="178">
        <v>18</v>
      </c>
      <c r="I442" s="178">
        <v>1</v>
      </c>
      <c r="J442" s="215">
        <v>0.1148</v>
      </c>
    </row>
    <row r="443" spans="1:10">
      <c r="A443" s="176">
        <v>436</v>
      </c>
      <c r="B443" s="178" t="s">
        <v>564</v>
      </c>
      <c r="C443" s="178" t="s">
        <v>110</v>
      </c>
      <c r="D443" s="178" t="s">
        <v>32</v>
      </c>
      <c r="E443" s="178" t="s">
        <v>115</v>
      </c>
      <c r="F443" s="178">
        <v>2295</v>
      </c>
      <c r="G443" s="178">
        <v>530</v>
      </c>
      <c r="H443" s="178">
        <v>18</v>
      </c>
      <c r="I443" s="178">
        <v>1</v>
      </c>
      <c r="J443" s="215">
        <v>1.2164</v>
      </c>
    </row>
    <row r="444" spans="1:10">
      <c r="A444" s="176">
        <v>437</v>
      </c>
      <c r="B444" s="178" t="s">
        <v>564</v>
      </c>
      <c r="C444" s="178" t="s">
        <v>199</v>
      </c>
      <c r="D444" s="178" t="s">
        <v>32</v>
      </c>
      <c r="E444" s="178" t="s">
        <v>115</v>
      </c>
      <c r="F444" s="178">
        <v>1519</v>
      </c>
      <c r="G444" s="178">
        <v>60</v>
      </c>
      <c r="H444" s="178">
        <v>18</v>
      </c>
      <c r="I444" s="178">
        <v>1</v>
      </c>
      <c r="J444" s="215">
        <v>0.0911</v>
      </c>
    </row>
    <row r="445" spans="1:10">
      <c r="A445" s="176">
        <v>438</v>
      </c>
      <c r="B445" s="178" t="s">
        <v>564</v>
      </c>
      <c r="C445" s="178" t="s">
        <v>327</v>
      </c>
      <c r="D445" s="178" t="s">
        <v>32</v>
      </c>
      <c r="E445" s="178" t="s">
        <v>115</v>
      </c>
      <c r="F445" s="178">
        <v>474</v>
      </c>
      <c r="G445" s="178">
        <v>60</v>
      </c>
      <c r="H445" s="178">
        <v>18</v>
      </c>
      <c r="I445" s="178">
        <v>1</v>
      </c>
      <c r="J445" s="215">
        <v>0.0284</v>
      </c>
    </row>
    <row r="446" spans="1:10">
      <c r="A446" s="176">
        <v>439</v>
      </c>
      <c r="B446" s="178" t="s">
        <v>564</v>
      </c>
      <c r="C446" s="178" t="s">
        <v>327</v>
      </c>
      <c r="D446" s="178" t="s">
        <v>32</v>
      </c>
      <c r="E446" s="178" t="s">
        <v>115</v>
      </c>
      <c r="F446" s="178">
        <v>474</v>
      </c>
      <c r="G446" s="178">
        <v>60</v>
      </c>
      <c r="H446" s="178">
        <v>18</v>
      </c>
      <c r="I446" s="178">
        <v>1</v>
      </c>
      <c r="J446" s="215">
        <v>0.0284</v>
      </c>
    </row>
    <row r="447" spans="1:10">
      <c r="A447" s="176">
        <v>440</v>
      </c>
      <c r="B447" s="178" t="s">
        <v>564</v>
      </c>
      <c r="C447" s="178" t="s">
        <v>199</v>
      </c>
      <c r="D447" s="178" t="s">
        <v>32</v>
      </c>
      <c r="E447" s="178" t="s">
        <v>115</v>
      </c>
      <c r="F447" s="178">
        <v>1519</v>
      </c>
      <c r="G447" s="178">
        <v>60</v>
      </c>
      <c r="H447" s="178">
        <v>18</v>
      </c>
      <c r="I447" s="178">
        <v>1</v>
      </c>
      <c r="J447" s="215">
        <v>0.0911</v>
      </c>
    </row>
    <row r="448" spans="1:10">
      <c r="A448" s="176">
        <v>441</v>
      </c>
      <c r="B448" s="178" t="s">
        <v>564</v>
      </c>
      <c r="C448" s="178" t="s">
        <v>117</v>
      </c>
      <c r="D448" s="178" t="s">
        <v>32</v>
      </c>
      <c r="E448" s="178" t="s">
        <v>115</v>
      </c>
      <c r="F448" s="178">
        <v>1519</v>
      </c>
      <c r="G448" s="178">
        <v>530</v>
      </c>
      <c r="H448" s="178">
        <v>18</v>
      </c>
      <c r="I448" s="178">
        <v>1</v>
      </c>
      <c r="J448" s="215">
        <v>0.8051</v>
      </c>
    </row>
    <row r="449" spans="1:10">
      <c r="A449" s="176">
        <v>442</v>
      </c>
      <c r="B449" s="178" t="s">
        <v>564</v>
      </c>
      <c r="C449" s="178" t="s">
        <v>110</v>
      </c>
      <c r="D449" s="178" t="s">
        <v>32</v>
      </c>
      <c r="E449" s="178" t="s">
        <v>115</v>
      </c>
      <c r="F449" s="178">
        <v>180</v>
      </c>
      <c r="G449" s="178">
        <v>421</v>
      </c>
      <c r="H449" s="178">
        <v>18</v>
      </c>
      <c r="I449" s="178">
        <v>1</v>
      </c>
      <c r="J449" s="215">
        <v>0.0758</v>
      </c>
    </row>
    <row r="450" spans="1:10">
      <c r="A450" s="176">
        <v>443</v>
      </c>
      <c r="B450" s="178" t="s">
        <v>564</v>
      </c>
      <c r="C450" s="178" t="s">
        <v>110</v>
      </c>
      <c r="D450" s="178" t="s">
        <v>32</v>
      </c>
      <c r="E450" s="178" t="s">
        <v>115</v>
      </c>
      <c r="F450" s="178">
        <v>180</v>
      </c>
      <c r="G450" s="178">
        <v>421</v>
      </c>
      <c r="H450" s="178">
        <v>18</v>
      </c>
      <c r="I450" s="178">
        <v>1</v>
      </c>
      <c r="J450" s="215">
        <v>0.0758</v>
      </c>
    </row>
    <row r="451" spans="1:10">
      <c r="A451" s="176">
        <v>444</v>
      </c>
      <c r="B451" s="178" t="s">
        <v>564</v>
      </c>
      <c r="C451" s="178" t="s">
        <v>375</v>
      </c>
      <c r="D451" s="178" t="s">
        <v>32</v>
      </c>
      <c r="E451" s="178" t="s">
        <v>115</v>
      </c>
      <c r="F451" s="178">
        <v>421</v>
      </c>
      <c r="G451" s="178">
        <v>174</v>
      </c>
      <c r="H451" s="178">
        <v>18</v>
      </c>
      <c r="I451" s="178">
        <v>1</v>
      </c>
      <c r="J451" s="215">
        <v>0.0733</v>
      </c>
    </row>
    <row r="452" spans="1:10">
      <c r="A452" s="176">
        <v>445</v>
      </c>
      <c r="B452" s="178" t="s">
        <v>564</v>
      </c>
      <c r="C452" s="178" t="s">
        <v>123</v>
      </c>
      <c r="D452" s="178" t="s">
        <v>32</v>
      </c>
      <c r="E452" s="178" t="s">
        <v>115</v>
      </c>
      <c r="F452" s="178">
        <v>365</v>
      </c>
      <c r="G452" s="178">
        <v>150</v>
      </c>
      <c r="H452" s="178">
        <v>18</v>
      </c>
      <c r="I452" s="178">
        <v>1</v>
      </c>
      <c r="J452" s="215">
        <v>0.0548</v>
      </c>
    </row>
    <row r="453" spans="1:10">
      <c r="A453" s="176">
        <v>446</v>
      </c>
      <c r="B453" s="178" t="s">
        <v>564</v>
      </c>
      <c r="C453" s="178" t="s">
        <v>124</v>
      </c>
      <c r="D453" s="178" t="s">
        <v>32</v>
      </c>
      <c r="E453" s="178" t="s">
        <v>115</v>
      </c>
      <c r="F453" s="178">
        <v>400</v>
      </c>
      <c r="G453" s="178">
        <v>150</v>
      </c>
      <c r="H453" s="178">
        <v>18</v>
      </c>
      <c r="I453" s="178">
        <v>1</v>
      </c>
      <c r="J453" s="215">
        <v>0.06</v>
      </c>
    </row>
    <row r="454" spans="1:10">
      <c r="A454" s="176">
        <v>447</v>
      </c>
      <c r="B454" s="178" t="s">
        <v>564</v>
      </c>
      <c r="C454" s="178" t="s">
        <v>126</v>
      </c>
      <c r="D454" s="178" t="s">
        <v>32</v>
      </c>
      <c r="E454" s="178" t="s">
        <v>115</v>
      </c>
      <c r="F454" s="178">
        <v>400</v>
      </c>
      <c r="G454" s="178">
        <v>150</v>
      </c>
      <c r="H454" s="178">
        <v>18</v>
      </c>
      <c r="I454" s="178">
        <v>1</v>
      </c>
      <c r="J454" s="215">
        <v>0.06</v>
      </c>
    </row>
    <row r="455" spans="1:10">
      <c r="A455" s="176">
        <v>448</v>
      </c>
      <c r="B455" s="178" t="s">
        <v>564</v>
      </c>
      <c r="C455" s="178" t="s">
        <v>127</v>
      </c>
      <c r="D455" s="178" t="s">
        <v>32</v>
      </c>
      <c r="E455" s="178" t="s">
        <v>115</v>
      </c>
      <c r="F455" s="178">
        <v>375</v>
      </c>
      <c r="G455" s="178">
        <v>392</v>
      </c>
      <c r="H455" s="178">
        <v>9</v>
      </c>
      <c r="I455" s="178">
        <v>1</v>
      </c>
      <c r="J455" s="215">
        <v>0.147</v>
      </c>
    </row>
    <row r="456" spans="1:10">
      <c r="A456" s="176">
        <v>449</v>
      </c>
      <c r="B456" s="178" t="s">
        <v>564</v>
      </c>
      <c r="C456" s="178" t="s">
        <v>114</v>
      </c>
      <c r="D456" s="178" t="s">
        <v>32</v>
      </c>
      <c r="E456" s="178" t="s">
        <v>115</v>
      </c>
      <c r="F456" s="178">
        <v>768</v>
      </c>
      <c r="G456" s="178">
        <v>473</v>
      </c>
      <c r="H456" s="178">
        <v>9</v>
      </c>
      <c r="I456" s="178">
        <v>1</v>
      </c>
      <c r="J456" s="215">
        <v>0.3633</v>
      </c>
    </row>
    <row r="457" spans="1:10">
      <c r="A457" s="176">
        <v>450</v>
      </c>
      <c r="B457" s="178" t="s">
        <v>564</v>
      </c>
      <c r="C457" s="178" t="s">
        <v>129</v>
      </c>
      <c r="D457" s="178" t="s">
        <v>32</v>
      </c>
      <c r="E457" s="178" t="s">
        <v>115</v>
      </c>
      <c r="F457" s="178">
        <v>463</v>
      </c>
      <c r="G457" s="178">
        <v>450</v>
      </c>
      <c r="H457" s="178">
        <v>18</v>
      </c>
      <c r="I457" s="178">
        <v>1</v>
      </c>
      <c r="J457" s="215">
        <v>0.2084</v>
      </c>
    </row>
    <row r="458" spans="1:10">
      <c r="A458" s="176">
        <v>451</v>
      </c>
      <c r="B458" s="178" t="s">
        <v>564</v>
      </c>
      <c r="C458" s="178" t="s">
        <v>114</v>
      </c>
      <c r="D458" s="178" t="s">
        <v>32</v>
      </c>
      <c r="E458" s="178" t="s">
        <v>115</v>
      </c>
      <c r="F458" s="178">
        <v>915</v>
      </c>
      <c r="G458" s="178">
        <v>473</v>
      </c>
      <c r="H458" s="178">
        <v>9</v>
      </c>
      <c r="I458" s="178">
        <v>1</v>
      </c>
      <c r="J458" s="215">
        <v>0.4328</v>
      </c>
    </row>
    <row r="459" spans="1:10">
      <c r="A459" s="176">
        <v>452</v>
      </c>
      <c r="B459" s="178" t="s">
        <v>564</v>
      </c>
      <c r="C459" s="178" t="s">
        <v>129</v>
      </c>
      <c r="D459" s="178" t="s">
        <v>32</v>
      </c>
      <c r="E459" s="178" t="s">
        <v>115</v>
      </c>
      <c r="F459" s="178">
        <v>463</v>
      </c>
      <c r="G459" s="178">
        <v>525</v>
      </c>
      <c r="H459" s="178">
        <v>18</v>
      </c>
      <c r="I459" s="178">
        <v>1</v>
      </c>
      <c r="J459" s="215">
        <v>0.2431</v>
      </c>
    </row>
    <row r="460" spans="1:10">
      <c r="A460" s="176">
        <v>453</v>
      </c>
      <c r="B460" s="178" t="s">
        <v>564</v>
      </c>
      <c r="C460" s="178" t="s">
        <v>114</v>
      </c>
      <c r="D460" s="178" t="s">
        <v>32</v>
      </c>
      <c r="E460" s="178" t="s">
        <v>115</v>
      </c>
      <c r="F460" s="178">
        <v>510</v>
      </c>
      <c r="G460" s="178">
        <v>473</v>
      </c>
      <c r="H460" s="178">
        <v>9</v>
      </c>
      <c r="I460" s="178">
        <v>1</v>
      </c>
      <c r="J460" s="215">
        <v>0.2412</v>
      </c>
    </row>
    <row r="461" spans="1:10">
      <c r="A461" s="176">
        <v>454</v>
      </c>
      <c r="B461" s="178" t="s">
        <v>564</v>
      </c>
      <c r="C461" s="178" t="s">
        <v>221</v>
      </c>
      <c r="D461" s="178" t="s">
        <v>32</v>
      </c>
      <c r="E461" s="178" t="s">
        <v>115</v>
      </c>
      <c r="F461" s="178">
        <v>2199</v>
      </c>
      <c r="G461" s="178">
        <v>530</v>
      </c>
      <c r="H461" s="178">
        <v>18</v>
      </c>
      <c r="I461" s="178">
        <v>1</v>
      </c>
      <c r="J461" s="215">
        <v>1.1655</v>
      </c>
    </row>
    <row r="462" spans="1:10">
      <c r="A462" s="176">
        <v>455</v>
      </c>
      <c r="B462" s="178" t="s">
        <v>564</v>
      </c>
      <c r="C462" s="178" t="s">
        <v>221</v>
      </c>
      <c r="D462" s="178" t="s">
        <v>32</v>
      </c>
      <c r="E462" s="178" t="s">
        <v>115</v>
      </c>
      <c r="F462" s="178">
        <v>2199</v>
      </c>
      <c r="G462" s="178">
        <v>80</v>
      </c>
      <c r="H462" s="178">
        <v>18</v>
      </c>
      <c r="I462" s="178">
        <v>1</v>
      </c>
      <c r="J462" s="215">
        <v>0.1759</v>
      </c>
    </row>
    <row r="463" spans="1:10">
      <c r="A463" s="176">
        <v>456</v>
      </c>
      <c r="B463" s="178" t="s">
        <v>564</v>
      </c>
      <c r="C463" s="178" t="s">
        <v>131</v>
      </c>
      <c r="D463" s="178" t="s">
        <v>32</v>
      </c>
      <c r="E463" s="178" t="s">
        <v>111</v>
      </c>
      <c r="F463" s="178">
        <v>2295</v>
      </c>
      <c r="G463" s="178">
        <v>625</v>
      </c>
      <c r="H463" s="178">
        <v>18</v>
      </c>
      <c r="I463" s="178">
        <v>1</v>
      </c>
      <c r="J463" s="215">
        <v>1.4344</v>
      </c>
    </row>
    <row r="464" spans="1:10">
      <c r="A464" s="176">
        <v>457</v>
      </c>
      <c r="B464" s="178" t="s">
        <v>564</v>
      </c>
      <c r="C464" s="178" t="s">
        <v>114</v>
      </c>
      <c r="D464" s="178" t="s">
        <v>32</v>
      </c>
      <c r="E464" s="178" t="s">
        <v>115</v>
      </c>
      <c r="F464" s="178">
        <v>1691</v>
      </c>
      <c r="G464" s="178">
        <v>1048</v>
      </c>
      <c r="H464" s="178">
        <v>9</v>
      </c>
      <c r="I464" s="178">
        <v>1</v>
      </c>
      <c r="J464" s="215">
        <v>1.7722</v>
      </c>
    </row>
    <row r="465" spans="1:10">
      <c r="A465" s="176">
        <v>458</v>
      </c>
      <c r="B465" s="178" t="s">
        <v>564</v>
      </c>
      <c r="C465" s="178" t="s">
        <v>180</v>
      </c>
      <c r="D465" s="178" t="s">
        <v>32</v>
      </c>
      <c r="E465" s="178" t="s">
        <v>115</v>
      </c>
      <c r="F465" s="178">
        <v>1038</v>
      </c>
      <c r="G465" s="178">
        <v>80</v>
      </c>
      <c r="H465" s="178">
        <v>18</v>
      </c>
      <c r="I465" s="178">
        <v>1</v>
      </c>
      <c r="J465" s="215">
        <v>0.083</v>
      </c>
    </row>
    <row r="466" spans="1:10">
      <c r="A466" s="176">
        <v>459</v>
      </c>
      <c r="B466" s="178" t="s">
        <v>564</v>
      </c>
      <c r="C466" s="178" t="s">
        <v>180</v>
      </c>
      <c r="D466" s="178" t="s">
        <v>32</v>
      </c>
      <c r="E466" s="178" t="s">
        <v>115</v>
      </c>
      <c r="F466" s="178">
        <v>1038</v>
      </c>
      <c r="G466" s="178">
        <v>80</v>
      </c>
      <c r="H466" s="178">
        <v>18</v>
      </c>
      <c r="I466" s="178">
        <v>1</v>
      </c>
      <c r="J466" s="215">
        <v>0.083</v>
      </c>
    </row>
    <row r="467" spans="1:10">
      <c r="A467" s="176">
        <v>460</v>
      </c>
      <c r="B467" s="178" t="s">
        <v>564</v>
      </c>
      <c r="C467" s="178" t="s">
        <v>217</v>
      </c>
      <c r="D467" s="178" t="s">
        <v>32</v>
      </c>
      <c r="E467" s="178" t="s">
        <v>115</v>
      </c>
      <c r="F467" s="178">
        <v>1038</v>
      </c>
      <c r="G467" s="178">
        <v>525</v>
      </c>
      <c r="H467" s="178">
        <v>18</v>
      </c>
      <c r="I467" s="178">
        <v>1</v>
      </c>
      <c r="J467" s="215">
        <v>0.545</v>
      </c>
    </row>
    <row r="468" spans="1:10">
      <c r="A468" s="176">
        <v>461</v>
      </c>
      <c r="B468" s="178" t="s">
        <v>564</v>
      </c>
      <c r="C468" s="178" t="s">
        <v>114</v>
      </c>
      <c r="D468" s="178" t="s">
        <v>32</v>
      </c>
      <c r="E468" s="178" t="s">
        <v>115</v>
      </c>
      <c r="F468" s="178">
        <v>510</v>
      </c>
      <c r="G468" s="178">
        <v>1048</v>
      </c>
      <c r="H468" s="178">
        <v>9</v>
      </c>
      <c r="I468" s="178">
        <v>1</v>
      </c>
      <c r="J468" s="215">
        <v>0.5345</v>
      </c>
    </row>
    <row r="469" spans="1:10">
      <c r="A469" s="176">
        <v>462</v>
      </c>
      <c r="B469" s="178" t="s">
        <v>564</v>
      </c>
      <c r="C469" s="178" t="s">
        <v>142</v>
      </c>
      <c r="D469" s="178" t="s">
        <v>32</v>
      </c>
      <c r="E469" s="178" t="s">
        <v>115</v>
      </c>
      <c r="F469" s="178">
        <v>1519</v>
      </c>
      <c r="G469" s="178">
        <v>530</v>
      </c>
      <c r="H469" s="178">
        <v>18</v>
      </c>
      <c r="I469" s="178">
        <v>1</v>
      </c>
      <c r="J469" s="215">
        <v>0.8051</v>
      </c>
    </row>
    <row r="470" spans="1:10">
      <c r="A470" s="176">
        <v>463</v>
      </c>
      <c r="B470" s="178" t="s">
        <v>564</v>
      </c>
      <c r="C470" s="178" t="s">
        <v>223</v>
      </c>
      <c r="D470" s="178" t="s">
        <v>32</v>
      </c>
      <c r="E470" s="178" t="s">
        <v>115</v>
      </c>
      <c r="F470" s="178">
        <v>2295</v>
      </c>
      <c r="G470" s="178">
        <v>530</v>
      </c>
      <c r="H470" s="178">
        <v>18</v>
      </c>
      <c r="I470" s="178">
        <v>1</v>
      </c>
      <c r="J470" s="215">
        <v>1.2164</v>
      </c>
    </row>
    <row r="471" spans="1:10">
      <c r="A471" s="176">
        <v>464</v>
      </c>
      <c r="B471" s="178" t="s">
        <v>564</v>
      </c>
      <c r="C471" s="178" t="s">
        <v>145</v>
      </c>
      <c r="D471" s="178" t="s">
        <v>32</v>
      </c>
      <c r="E471" s="178" t="s">
        <v>111</v>
      </c>
      <c r="F471" s="178">
        <v>1655</v>
      </c>
      <c r="G471" s="178">
        <v>160</v>
      </c>
      <c r="H471" s="178">
        <v>18</v>
      </c>
      <c r="I471" s="178">
        <v>1</v>
      </c>
      <c r="J471" s="215">
        <v>0.2648</v>
      </c>
    </row>
    <row r="472" spans="1:10">
      <c r="A472" s="176">
        <v>465</v>
      </c>
      <c r="B472" s="178" t="s">
        <v>564</v>
      </c>
      <c r="C472" s="178" t="s">
        <v>146</v>
      </c>
      <c r="D472" s="178" t="s">
        <v>32</v>
      </c>
      <c r="E472" s="178" t="s">
        <v>115</v>
      </c>
      <c r="F472" s="178">
        <v>1655</v>
      </c>
      <c r="G472" s="178">
        <v>80</v>
      </c>
      <c r="H472" s="178">
        <v>18</v>
      </c>
      <c r="I472" s="178">
        <v>1</v>
      </c>
      <c r="J472" s="215">
        <v>0.1324</v>
      </c>
    </row>
    <row r="473" spans="1:10">
      <c r="A473" s="176">
        <v>466</v>
      </c>
      <c r="B473" s="178" t="s">
        <v>564</v>
      </c>
      <c r="C473" s="178" t="s">
        <v>31</v>
      </c>
      <c r="D473" s="178" t="s">
        <v>32</v>
      </c>
      <c r="E473" s="178" t="s">
        <v>111</v>
      </c>
      <c r="F473" s="178">
        <v>2272</v>
      </c>
      <c r="G473" s="178">
        <v>487</v>
      </c>
      <c r="H473" s="178">
        <v>18</v>
      </c>
      <c r="I473" s="178">
        <v>1</v>
      </c>
      <c r="J473" s="215">
        <v>1.1065</v>
      </c>
    </row>
    <row r="474" spans="1:10">
      <c r="A474" s="176">
        <v>467</v>
      </c>
      <c r="B474" s="178" t="s">
        <v>564</v>
      </c>
      <c r="C474" s="178" t="s">
        <v>35</v>
      </c>
      <c r="D474" s="178" t="s">
        <v>32</v>
      </c>
      <c r="E474" s="178" t="s">
        <v>111</v>
      </c>
      <c r="F474" s="178">
        <v>2272</v>
      </c>
      <c r="G474" s="178">
        <v>487</v>
      </c>
      <c r="H474" s="178">
        <v>18</v>
      </c>
      <c r="I474" s="178">
        <v>1</v>
      </c>
      <c r="J474" s="215">
        <v>1.1065</v>
      </c>
    </row>
    <row r="475" spans="1:10">
      <c r="A475" s="176">
        <v>468</v>
      </c>
      <c r="B475" s="178" t="s">
        <v>565</v>
      </c>
      <c r="C475" s="178" t="s">
        <v>472</v>
      </c>
      <c r="D475" s="178" t="s">
        <v>32</v>
      </c>
      <c r="E475" s="178" t="s">
        <v>115</v>
      </c>
      <c r="F475" s="178">
        <v>762</v>
      </c>
      <c r="G475" s="178">
        <v>600</v>
      </c>
      <c r="H475" s="178">
        <v>18</v>
      </c>
      <c r="I475" s="178">
        <v>1</v>
      </c>
      <c r="J475" s="215">
        <v>0.4572</v>
      </c>
    </row>
    <row r="476" spans="1:10">
      <c r="A476" s="176">
        <v>469</v>
      </c>
      <c r="B476" s="178" t="s">
        <v>565</v>
      </c>
      <c r="C476" s="178" t="s">
        <v>129</v>
      </c>
      <c r="D476" s="178" t="s">
        <v>32</v>
      </c>
      <c r="E476" s="178" t="s">
        <v>115</v>
      </c>
      <c r="F476" s="178">
        <v>2469</v>
      </c>
      <c r="G476" s="178">
        <v>542</v>
      </c>
      <c r="H476" s="178">
        <v>18</v>
      </c>
      <c r="I476" s="178">
        <v>1</v>
      </c>
      <c r="J476" s="215">
        <v>1.3382</v>
      </c>
    </row>
    <row r="477" spans="1:10">
      <c r="A477" s="176">
        <v>470</v>
      </c>
      <c r="B477" s="178" t="s">
        <v>565</v>
      </c>
      <c r="C477" s="178" t="s">
        <v>375</v>
      </c>
      <c r="D477" s="178" t="s">
        <v>32</v>
      </c>
      <c r="E477" s="178" t="s">
        <v>111</v>
      </c>
      <c r="F477" s="178">
        <v>491</v>
      </c>
      <c r="G477" s="178">
        <v>179</v>
      </c>
      <c r="H477" s="178">
        <v>18</v>
      </c>
      <c r="I477" s="178">
        <v>1</v>
      </c>
      <c r="J477" s="215">
        <v>0.0879</v>
      </c>
    </row>
    <row r="478" spans="1:10">
      <c r="A478" s="176">
        <v>471</v>
      </c>
      <c r="B478" s="178" t="s">
        <v>565</v>
      </c>
      <c r="C478" s="178" t="s">
        <v>123</v>
      </c>
      <c r="D478" s="178" t="s">
        <v>32</v>
      </c>
      <c r="E478" s="178" t="s">
        <v>115</v>
      </c>
      <c r="F478" s="178">
        <v>423</v>
      </c>
      <c r="G478" s="178">
        <v>140</v>
      </c>
      <c r="H478" s="178">
        <v>18</v>
      </c>
      <c r="I478" s="178">
        <v>1</v>
      </c>
      <c r="J478" s="215">
        <v>0.0592</v>
      </c>
    </row>
    <row r="479" spans="1:10">
      <c r="A479" s="176">
        <v>472</v>
      </c>
      <c r="B479" s="178" t="s">
        <v>565</v>
      </c>
      <c r="C479" s="178" t="s">
        <v>124</v>
      </c>
      <c r="D479" s="178" t="s">
        <v>32</v>
      </c>
      <c r="E479" s="178" t="s">
        <v>115</v>
      </c>
      <c r="F479" s="178">
        <v>500</v>
      </c>
      <c r="G479" s="178">
        <v>140</v>
      </c>
      <c r="H479" s="178">
        <v>18</v>
      </c>
      <c r="I479" s="178">
        <v>1</v>
      </c>
      <c r="J479" s="215">
        <v>0.07</v>
      </c>
    </row>
    <row r="480" spans="1:10">
      <c r="A480" s="176">
        <v>473</v>
      </c>
      <c r="B480" s="178" t="s">
        <v>565</v>
      </c>
      <c r="C480" s="178" t="s">
        <v>126</v>
      </c>
      <c r="D480" s="178" t="s">
        <v>32</v>
      </c>
      <c r="E480" s="178" t="s">
        <v>115</v>
      </c>
      <c r="F480" s="178">
        <v>500</v>
      </c>
      <c r="G480" s="178">
        <v>140</v>
      </c>
      <c r="H480" s="178">
        <v>18</v>
      </c>
      <c r="I480" s="178">
        <v>1</v>
      </c>
      <c r="J480" s="215">
        <v>0.07</v>
      </c>
    </row>
    <row r="481" spans="1:10">
      <c r="A481" s="176">
        <v>474</v>
      </c>
      <c r="B481" s="178" t="s">
        <v>565</v>
      </c>
      <c r="C481" s="178" t="s">
        <v>127</v>
      </c>
      <c r="D481" s="178" t="s">
        <v>32</v>
      </c>
      <c r="E481" s="178" t="s">
        <v>115</v>
      </c>
      <c r="F481" s="178">
        <v>433</v>
      </c>
      <c r="G481" s="178">
        <v>492</v>
      </c>
      <c r="H481" s="178">
        <v>9</v>
      </c>
      <c r="I481" s="178">
        <v>1</v>
      </c>
      <c r="J481" s="215">
        <v>0.213</v>
      </c>
    </row>
    <row r="482" spans="1:10">
      <c r="A482" s="176">
        <v>475</v>
      </c>
      <c r="B482" s="178" t="s">
        <v>565</v>
      </c>
      <c r="C482" s="178" t="s">
        <v>221</v>
      </c>
      <c r="D482" s="178" t="s">
        <v>32</v>
      </c>
      <c r="E482" s="178" t="s">
        <v>115</v>
      </c>
      <c r="F482" s="178">
        <v>164</v>
      </c>
      <c r="G482" s="178">
        <v>542</v>
      </c>
      <c r="H482" s="178">
        <v>18</v>
      </c>
      <c r="I482" s="178">
        <v>1</v>
      </c>
      <c r="J482" s="215">
        <v>0.0889</v>
      </c>
    </row>
    <row r="483" spans="1:10">
      <c r="A483" s="176">
        <v>476</v>
      </c>
      <c r="B483" s="178" t="s">
        <v>565</v>
      </c>
      <c r="C483" s="178" t="s">
        <v>375</v>
      </c>
      <c r="D483" s="178" t="s">
        <v>32</v>
      </c>
      <c r="E483" s="178" t="s">
        <v>111</v>
      </c>
      <c r="F483" s="178">
        <v>491</v>
      </c>
      <c r="G483" s="178">
        <v>179</v>
      </c>
      <c r="H483" s="178">
        <v>18</v>
      </c>
      <c r="I483" s="178">
        <v>1</v>
      </c>
      <c r="J483" s="215">
        <v>0.0879</v>
      </c>
    </row>
    <row r="484" spans="1:10">
      <c r="A484" s="176">
        <v>477</v>
      </c>
      <c r="B484" s="178" t="s">
        <v>565</v>
      </c>
      <c r="C484" s="178" t="s">
        <v>123</v>
      </c>
      <c r="D484" s="178" t="s">
        <v>32</v>
      </c>
      <c r="E484" s="178" t="s">
        <v>115</v>
      </c>
      <c r="F484" s="178">
        <v>414</v>
      </c>
      <c r="G484" s="178">
        <v>140</v>
      </c>
      <c r="H484" s="178">
        <v>18</v>
      </c>
      <c r="I484" s="178">
        <v>1</v>
      </c>
      <c r="J484" s="215">
        <v>0.058</v>
      </c>
    </row>
    <row r="485" spans="1:10">
      <c r="A485" s="176">
        <v>478</v>
      </c>
      <c r="B485" s="178" t="s">
        <v>565</v>
      </c>
      <c r="C485" s="178" t="s">
        <v>124</v>
      </c>
      <c r="D485" s="178" t="s">
        <v>32</v>
      </c>
      <c r="E485" s="178" t="s">
        <v>115</v>
      </c>
      <c r="F485" s="178">
        <v>500</v>
      </c>
      <c r="G485" s="178">
        <v>140</v>
      </c>
      <c r="H485" s="178">
        <v>18</v>
      </c>
      <c r="I485" s="178">
        <v>1</v>
      </c>
      <c r="J485" s="215">
        <v>0.07</v>
      </c>
    </row>
    <row r="486" spans="1:10">
      <c r="A486" s="176">
        <v>479</v>
      </c>
      <c r="B486" s="178" t="s">
        <v>565</v>
      </c>
      <c r="C486" s="178" t="s">
        <v>126</v>
      </c>
      <c r="D486" s="178" t="s">
        <v>32</v>
      </c>
      <c r="E486" s="178" t="s">
        <v>115</v>
      </c>
      <c r="F486" s="178">
        <v>500</v>
      </c>
      <c r="G486" s="178">
        <v>140</v>
      </c>
      <c r="H486" s="178">
        <v>18</v>
      </c>
      <c r="I486" s="178">
        <v>1</v>
      </c>
      <c r="J486" s="215">
        <v>0.07</v>
      </c>
    </row>
    <row r="487" spans="1:10">
      <c r="A487" s="176">
        <v>480</v>
      </c>
      <c r="B487" s="178" t="s">
        <v>565</v>
      </c>
      <c r="C487" s="178" t="s">
        <v>127</v>
      </c>
      <c r="D487" s="178" t="s">
        <v>32</v>
      </c>
      <c r="E487" s="178" t="s">
        <v>115</v>
      </c>
      <c r="F487" s="178">
        <v>424</v>
      </c>
      <c r="G487" s="178">
        <v>492</v>
      </c>
      <c r="H487" s="178">
        <v>9</v>
      </c>
      <c r="I487" s="178">
        <v>1</v>
      </c>
      <c r="J487" s="215">
        <v>0.2086</v>
      </c>
    </row>
    <row r="488" spans="1:10">
      <c r="A488" s="176">
        <v>481</v>
      </c>
      <c r="B488" s="178" t="s">
        <v>565</v>
      </c>
      <c r="C488" s="178" t="s">
        <v>221</v>
      </c>
      <c r="D488" s="178" t="s">
        <v>32</v>
      </c>
      <c r="E488" s="178" t="s">
        <v>115</v>
      </c>
      <c r="F488" s="178">
        <v>164</v>
      </c>
      <c r="G488" s="178">
        <v>542</v>
      </c>
      <c r="H488" s="178">
        <v>18</v>
      </c>
      <c r="I488" s="178">
        <v>1</v>
      </c>
      <c r="J488" s="215">
        <v>0.0889</v>
      </c>
    </row>
    <row r="489" spans="1:10">
      <c r="A489" s="176">
        <v>482</v>
      </c>
      <c r="B489" s="178" t="s">
        <v>565</v>
      </c>
      <c r="C489" s="178" t="s">
        <v>375</v>
      </c>
      <c r="D489" s="178" t="s">
        <v>32</v>
      </c>
      <c r="E489" s="178" t="s">
        <v>111</v>
      </c>
      <c r="F489" s="178">
        <v>491</v>
      </c>
      <c r="G489" s="178">
        <v>179</v>
      </c>
      <c r="H489" s="178">
        <v>18</v>
      </c>
      <c r="I489" s="178">
        <v>1</v>
      </c>
      <c r="J489" s="215">
        <v>0.0879</v>
      </c>
    </row>
    <row r="490" spans="1:10">
      <c r="A490" s="176">
        <v>483</v>
      </c>
      <c r="B490" s="178" t="s">
        <v>565</v>
      </c>
      <c r="C490" s="178" t="s">
        <v>123</v>
      </c>
      <c r="D490" s="178" t="s">
        <v>32</v>
      </c>
      <c r="E490" s="178" t="s">
        <v>115</v>
      </c>
      <c r="F490" s="178">
        <v>414</v>
      </c>
      <c r="G490" s="178">
        <v>140</v>
      </c>
      <c r="H490" s="178">
        <v>18</v>
      </c>
      <c r="I490" s="178">
        <v>1</v>
      </c>
      <c r="J490" s="215">
        <v>0.058</v>
      </c>
    </row>
    <row r="491" spans="1:10">
      <c r="A491" s="176">
        <v>484</v>
      </c>
      <c r="B491" s="178" t="s">
        <v>565</v>
      </c>
      <c r="C491" s="178" t="s">
        <v>124</v>
      </c>
      <c r="D491" s="178" t="s">
        <v>32</v>
      </c>
      <c r="E491" s="178" t="s">
        <v>115</v>
      </c>
      <c r="F491" s="178">
        <v>500</v>
      </c>
      <c r="G491" s="178">
        <v>140</v>
      </c>
      <c r="H491" s="178">
        <v>18</v>
      </c>
      <c r="I491" s="178">
        <v>1</v>
      </c>
      <c r="J491" s="215">
        <v>0.07</v>
      </c>
    </row>
    <row r="492" spans="1:10">
      <c r="A492" s="176">
        <v>485</v>
      </c>
      <c r="B492" s="178" t="s">
        <v>565</v>
      </c>
      <c r="C492" s="178" t="s">
        <v>126</v>
      </c>
      <c r="D492" s="178" t="s">
        <v>32</v>
      </c>
      <c r="E492" s="178" t="s">
        <v>115</v>
      </c>
      <c r="F492" s="178">
        <v>500</v>
      </c>
      <c r="G492" s="178">
        <v>140</v>
      </c>
      <c r="H492" s="178">
        <v>18</v>
      </c>
      <c r="I492" s="178">
        <v>1</v>
      </c>
      <c r="J492" s="215">
        <v>0.07</v>
      </c>
    </row>
    <row r="493" spans="1:10">
      <c r="A493" s="176">
        <v>486</v>
      </c>
      <c r="B493" s="178" t="s">
        <v>565</v>
      </c>
      <c r="C493" s="178" t="s">
        <v>127</v>
      </c>
      <c r="D493" s="178" t="s">
        <v>32</v>
      </c>
      <c r="E493" s="178" t="s">
        <v>115</v>
      </c>
      <c r="F493" s="178">
        <v>424</v>
      </c>
      <c r="G493" s="178">
        <v>492</v>
      </c>
      <c r="H493" s="178">
        <v>9</v>
      </c>
      <c r="I493" s="178">
        <v>1</v>
      </c>
      <c r="J493" s="215">
        <v>0.2086</v>
      </c>
    </row>
    <row r="494" spans="1:10">
      <c r="A494" s="176">
        <v>487</v>
      </c>
      <c r="B494" s="178" t="s">
        <v>565</v>
      </c>
      <c r="C494" s="178" t="s">
        <v>221</v>
      </c>
      <c r="D494" s="178" t="s">
        <v>32</v>
      </c>
      <c r="E494" s="178" t="s">
        <v>115</v>
      </c>
      <c r="F494" s="178">
        <v>164</v>
      </c>
      <c r="G494" s="178">
        <v>542</v>
      </c>
      <c r="H494" s="178">
        <v>18</v>
      </c>
      <c r="I494" s="178">
        <v>1</v>
      </c>
      <c r="J494" s="215">
        <v>0.0889</v>
      </c>
    </row>
    <row r="495" spans="1:10">
      <c r="A495" s="176">
        <v>488</v>
      </c>
      <c r="B495" s="178" t="s">
        <v>565</v>
      </c>
      <c r="C495" s="178" t="s">
        <v>375</v>
      </c>
      <c r="D495" s="178" t="s">
        <v>32</v>
      </c>
      <c r="E495" s="178" t="s">
        <v>111</v>
      </c>
      <c r="F495" s="178">
        <v>491</v>
      </c>
      <c r="G495" s="178">
        <v>179</v>
      </c>
      <c r="H495" s="178">
        <v>18</v>
      </c>
      <c r="I495" s="178">
        <v>1</v>
      </c>
      <c r="J495" s="215">
        <v>0.0879</v>
      </c>
    </row>
    <row r="496" spans="1:10">
      <c r="A496" s="176">
        <v>489</v>
      </c>
      <c r="B496" s="178" t="s">
        <v>565</v>
      </c>
      <c r="C496" s="178" t="s">
        <v>123</v>
      </c>
      <c r="D496" s="178" t="s">
        <v>32</v>
      </c>
      <c r="E496" s="178" t="s">
        <v>115</v>
      </c>
      <c r="F496" s="178">
        <v>414</v>
      </c>
      <c r="G496" s="178">
        <v>140</v>
      </c>
      <c r="H496" s="178">
        <v>18</v>
      </c>
      <c r="I496" s="178">
        <v>1</v>
      </c>
      <c r="J496" s="215">
        <v>0.058</v>
      </c>
    </row>
    <row r="497" spans="1:10">
      <c r="A497" s="176">
        <v>490</v>
      </c>
      <c r="B497" s="178" t="s">
        <v>565</v>
      </c>
      <c r="C497" s="178" t="s">
        <v>124</v>
      </c>
      <c r="D497" s="178" t="s">
        <v>32</v>
      </c>
      <c r="E497" s="178" t="s">
        <v>115</v>
      </c>
      <c r="F497" s="178">
        <v>500</v>
      </c>
      <c r="G497" s="178">
        <v>140</v>
      </c>
      <c r="H497" s="178">
        <v>18</v>
      </c>
      <c r="I497" s="178">
        <v>1</v>
      </c>
      <c r="J497" s="215">
        <v>0.07</v>
      </c>
    </row>
    <row r="498" spans="1:10">
      <c r="A498" s="176">
        <v>491</v>
      </c>
      <c r="B498" s="178" t="s">
        <v>565</v>
      </c>
      <c r="C498" s="178" t="s">
        <v>126</v>
      </c>
      <c r="D498" s="178" t="s">
        <v>32</v>
      </c>
      <c r="E498" s="178" t="s">
        <v>115</v>
      </c>
      <c r="F498" s="178">
        <v>500</v>
      </c>
      <c r="G498" s="178">
        <v>140</v>
      </c>
      <c r="H498" s="178">
        <v>18</v>
      </c>
      <c r="I498" s="178">
        <v>1</v>
      </c>
      <c r="J498" s="215">
        <v>0.07</v>
      </c>
    </row>
    <row r="499" spans="1:10">
      <c r="A499" s="176">
        <v>492</v>
      </c>
      <c r="B499" s="178" t="s">
        <v>565</v>
      </c>
      <c r="C499" s="178" t="s">
        <v>127</v>
      </c>
      <c r="D499" s="178" t="s">
        <v>32</v>
      </c>
      <c r="E499" s="178" t="s">
        <v>115</v>
      </c>
      <c r="F499" s="178">
        <v>424</v>
      </c>
      <c r="G499" s="178">
        <v>492</v>
      </c>
      <c r="H499" s="178">
        <v>9</v>
      </c>
      <c r="I499" s="178">
        <v>1</v>
      </c>
      <c r="J499" s="215">
        <v>0.2086</v>
      </c>
    </row>
    <row r="500" spans="1:10">
      <c r="A500" s="176">
        <v>493</v>
      </c>
      <c r="B500" s="178" t="s">
        <v>565</v>
      </c>
      <c r="C500" s="178" t="s">
        <v>221</v>
      </c>
      <c r="D500" s="178" t="s">
        <v>32</v>
      </c>
      <c r="E500" s="178" t="s">
        <v>115</v>
      </c>
      <c r="F500" s="178">
        <v>164</v>
      </c>
      <c r="G500" s="178">
        <v>542</v>
      </c>
      <c r="H500" s="178">
        <v>18</v>
      </c>
      <c r="I500" s="178">
        <v>1</v>
      </c>
      <c r="J500" s="215">
        <v>0.0889</v>
      </c>
    </row>
    <row r="501" spans="1:10">
      <c r="A501" s="176">
        <v>494</v>
      </c>
      <c r="B501" s="178" t="s">
        <v>565</v>
      </c>
      <c r="C501" s="178" t="s">
        <v>375</v>
      </c>
      <c r="D501" s="178" t="s">
        <v>32</v>
      </c>
      <c r="E501" s="178" t="s">
        <v>111</v>
      </c>
      <c r="F501" s="178">
        <v>490</v>
      </c>
      <c r="G501" s="178">
        <v>179</v>
      </c>
      <c r="H501" s="178">
        <v>18</v>
      </c>
      <c r="I501" s="178">
        <v>1</v>
      </c>
      <c r="J501" s="215">
        <v>0.0877</v>
      </c>
    </row>
    <row r="502" spans="1:10">
      <c r="A502" s="176">
        <v>495</v>
      </c>
      <c r="B502" s="178" t="s">
        <v>565</v>
      </c>
      <c r="C502" s="178" t="s">
        <v>123</v>
      </c>
      <c r="D502" s="178" t="s">
        <v>32</v>
      </c>
      <c r="E502" s="178" t="s">
        <v>115</v>
      </c>
      <c r="F502" s="178">
        <v>422</v>
      </c>
      <c r="G502" s="178">
        <v>140</v>
      </c>
      <c r="H502" s="178">
        <v>18</v>
      </c>
      <c r="I502" s="178">
        <v>1</v>
      </c>
      <c r="J502" s="215">
        <v>0.0591</v>
      </c>
    </row>
    <row r="503" spans="1:10">
      <c r="A503" s="176">
        <v>496</v>
      </c>
      <c r="B503" s="178" t="s">
        <v>565</v>
      </c>
      <c r="C503" s="178" t="s">
        <v>124</v>
      </c>
      <c r="D503" s="178" t="s">
        <v>32</v>
      </c>
      <c r="E503" s="178" t="s">
        <v>115</v>
      </c>
      <c r="F503" s="178">
        <v>500</v>
      </c>
      <c r="G503" s="178">
        <v>140</v>
      </c>
      <c r="H503" s="178">
        <v>18</v>
      </c>
      <c r="I503" s="178">
        <v>1</v>
      </c>
      <c r="J503" s="215">
        <v>0.07</v>
      </c>
    </row>
    <row r="504" spans="1:10">
      <c r="A504" s="176">
        <v>497</v>
      </c>
      <c r="B504" s="178" t="s">
        <v>565</v>
      </c>
      <c r="C504" s="178" t="s">
        <v>126</v>
      </c>
      <c r="D504" s="178" t="s">
        <v>32</v>
      </c>
      <c r="E504" s="178" t="s">
        <v>115</v>
      </c>
      <c r="F504" s="178">
        <v>500</v>
      </c>
      <c r="G504" s="178">
        <v>140</v>
      </c>
      <c r="H504" s="178">
        <v>18</v>
      </c>
      <c r="I504" s="178">
        <v>1</v>
      </c>
      <c r="J504" s="215">
        <v>0.07</v>
      </c>
    </row>
    <row r="505" spans="1:10">
      <c r="A505" s="176">
        <v>498</v>
      </c>
      <c r="B505" s="178" t="s">
        <v>565</v>
      </c>
      <c r="C505" s="178" t="s">
        <v>127</v>
      </c>
      <c r="D505" s="178" t="s">
        <v>32</v>
      </c>
      <c r="E505" s="178" t="s">
        <v>115</v>
      </c>
      <c r="F505" s="178">
        <v>432</v>
      </c>
      <c r="G505" s="178">
        <v>492</v>
      </c>
      <c r="H505" s="178">
        <v>9</v>
      </c>
      <c r="I505" s="178">
        <v>1</v>
      </c>
      <c r="J505" s="215">
        <v>0.2125</v>
      </c>
    </row>
    <row r="506" spans="1:10">
      <c r="A506" s="176">
        <v>499</v>
      </c>
      <c r="B506" s="178" t="s">
        <v>565</v>
      </c>
      <c r="C506" s="178" t="s">
        <v>114</v>
      </c>
      <c r="D506" s="178" t="s">
        <v>32</v>
      </c>
      <c r="E506" s="178" t="s">
        <v>115</v>
      </c>
      <c r="F506" s="178">
        <v>762</v>
      </c>
      <c r="G506" s="178">
        <v>2469</v>
      </c>
      <c r="H506" s="178">
        <v>18</v>
      </c>
      <c r="I506" s="178">
        <v>1</v>
      </c>
      <c r="J506" s="215">
        <v>1.8814</v>
      </c>
    </row>
    <row r="507" spans="1:10">
      <c r="A507" s="176">
        <v>500</v>
      </c>
      <c r="B507" s="178" t="s">
        <v>565</v>
      </c>
      <c r="C507" s="178" t="s">
        <v>486</v>
      </c>
      <c r="D507" s="178" t="s">
        <v>32</v>
      </c>
      <c r="E507" s="178" t="s">
        <v>115</v>
      </c>
      <c r="F507" s="178">
        <v>762</v>
      </c>
      <c r="G507" s="178">
        <v>600</v>
      </c>
      <c r="H507" s="178">
        <v>18</v>
      </c>
      <c r="I507" s="178">
        <v>1</v>
      </c>
      <c r="J507" s="215">
        <v>0.4572</v>
      </c>
    </row>
    <row r="508" spans="1:10">
      <c r="A508" s="176">
        <v>501</v>
      </c>
      <c r="B508" s="178" t="s">
        <v>565</v>
      </c>
      <c r="C508" s="178" t="s">
        <v>129</v>
      </c>
      <c r="D508" s="178" t="s">
        <v>32</v>
      </c>
      <c r="E508" s="178" t="s">
        <v>115</v>
      </c>
      <c r="F508" s="178">
        <v>2505</v>
      </c>
      <c r="G508" s="178">
        <v>600</v>
      </c>
      <c r="H508" s="178">
        <v>18</v>
      </c>
      <c r="I508" s="178">
        <v>1</v>
      </c>
      <c r="J508" s="215">
        <v>1.503</v>
      </c>
    </row>
    <row r="509" spans="1:10">
      <c r="A509" s="176">
        <v>502</v>
      </c>
      <c r="B509" s="178" t="s">
        <v>565</v>
      </c>
      <c r="C509" s="178" t="s">
        <v>472</v>
      </c>
      <c r="D509" s="178" t="s">
        <v>32</v>
      </c>
      <c r="E509" s="178" t="s">
        <v>115</v>
      </c>
      <c r="F509" s="178">
        <v>1675</v>
      </c>
      <c r="G509" s="178">
        <v>300</v>
      </c>
      <c r="H509" s="178">
        <v>18</v>
      </c>
      <c r="I509" s="178">
        <v>1</v>
      </c>
      <c r="J509" s="215">
        <v>0.5025</v>
      </c>
    </row>
    <row r="510" spans="1:10">
      <c r="A510" s="176">
        <v>503</v>
      </c>
      <c r="B510" s="178" t="s">
        <v>565</v>
      </c>
      <c r="C510" s="178" t="s">
        <v>114</v>
      </c>
      <c r="D510" s="178" t="s">
        <v>32</v>
      </c>
      <c r="E510" s="178" t="s">
        <v>115</v>
      </c>
      <c r="F510" s="178">
        <v>600</v>
      </c>
      <c r="G510" s="178">
        <v>2469</v>
      </c>
      <c r="H510" s="178">
        <v>18</v>
      </c>
      <c r="I510" s="178">
        <v>1</v>
      </c>
      <c r="J510" s="215">
        <v>1.4814</v>
      </c>
    </row>
    <row r="511" spans="1:10">
      <c r="A511" s="176">
        <v>504</v>
      </c>
      <c r="B511" s="178" t="s">
        <v>565</v>
      </c>
      <c r="C511" s="178" t="s">
        <v>129</v>
      </c>
      <c r="D511" s="178" t="s">
        <v>32</v>
      </c>
      <c r="E511" s="178" t="s">
        <v>115</v>
      </c>
      <c r="F511" s="178">
        <v>2469</v>
      </c>
      <c r="G511" s="178">
        <v>280</v>
      </c>
      <c r="H511" s="178">
        <v>18</v>
      </c>
      <c r="I511" s="178">
        <v>1</v>
      </c>
      <c r="J511" s="215">
        <v>0.6913</v>
      </c>
    </row>
    <row r="512" spans="1:10">
      <c r="A512" s="176">
        <v>505</v>
      </c>
      <c r="B512" s="178" t="s">
        <v>565</v>
      </c>
      <c r="C512" s="178" t="s">
        <v>114</v>
      </c>
      <c r="D512" s="178" t="s">
        <v>32</v>
      </c>
      <c r="E512" s="178" t="s">
        <v>115</v>
      </c>
      <c r="F512" s="178">
        <v>326</v>
      </c>
      <c r="G512" s="178">
        <v>815</v>
      </c>
      <c r="H512" s="178">
        <v>9</v>
      </c>
      <c r="I512" s="178">
        <v>1</v>
      </c>
      <c r="J512" s="215">
        <v>0.2657</v>
      </c>
    </row>
    <row r="513" spans="1:10">
      <c r="A513" s="176">
        <v>506</v>
      </c>
      <c r="B513" s="178" t="s">
        <v>565</v>
      </c>
      <c r="C513" s="178" t="s">
        <v>129</v>
      </c>
      <c r="D513" s="178" t="s">
        <v>32</v>
      </c>
      <c r="E513" s="178" t="s">
        <v>115</v>
      </c>
      <c r="F513" s="178">
        <v>805</v>
      </c>
      <c r="G513" s="178">
        <v>275</v>
      </c>
      <c r="H513" s="178">
        <v>18</v>
      </c>
      <c r="I513" s="178">
        <v>1</v>
      </c>
      <c r="J513" s="215">
        <v>0.2214</v>
      </c>
    </row>
    <row r="514" spans="1:10">
      <c r="A514" s="176">
        <v>507</v>
      </c>
      <c r="B514" s="178" t="s">
        <v>565</v>
      </c>
      <c r="C514" s="178" t="s">
        <v>114</v>
      </c>
      <c r="D514" s="178" t="s">
        <v>32</v>
      </c>
      <c r="E514" s="178" t="s">
        <v>115</v>
      </c>
      <c r="F514" s="178">
        <v>326</v>
      </c>
      <c r="G514" s="178">
        <v>815</v>
      </c>
      <c r="H514" s="178">
        <v>9</v>
      </c>
      <c r="I514" s="178">
        <v>1</v>
      </c>
      <c r="J514" s="215">
        <v>0.2657</v>
      </c>
    </row>
    <row r="515" spans="1:10">
      <c r="A515" s="176">
        <v>508</v>
      </c>
      <c r="B515" s="178" t="s">
        <v>565</v>
      </c>
      <c r="C515" s="178" t="s">
        <v>129</v>
      </c>
      <c r="D515" s="178" t="s">
        <v>32</v>
      </c>
      <c r="E515" s="178" t="s">
        <v>115</v>
      </c>
      <c r="F515" s="178">
        <v>805</v>
      </c>
      <c r="G515" s="178">
        <v>275</v>
      </c>
      <c r="H515" s="178">
        <v>18</v>
      </c>
      <c r="I515" s="178">
        <v>1</v>
      </c>
      <c r="J515" s="215">
        <v>0.2214</v>
      </c>
    </row>
    <row r="516" spans="1:10">
      <c r="A516" s="176">
        <v>509</v>
      </c>
      <c r="B516" s="178" t="s">
        <v>565</v>
      </c>
      <c r="C516" s="178" t="s">
        <v>114</v>
      </c>
      <c r="D516" s="178" t="s">
        <v>32</v>
      </c>
      <c r="E516" s="178" t="s">
        <v>115</v>
      </c>
      <c r="F516" s="178">
        <v>331</v>
      </c>
      <c r="G516" s="178">
        <v>815</v>
      </c>
      <c r="H516" s="178">
        <v>9</v>
      </c>
      <c r="I516" s="178">
        <v>1</v>
      </c>
      <c r="J516" s="215">
        <v>0.2698</v>
      </c>
    </row>
    <row r="517" spans="1:10">
      <c r="A517" s="176">
        <v>510</v>
      </c>
      <c r="B517" s="178" t="s">
        <v>565</v>
      </c>
      <c r="C517" s="178" t="s">
        <v>221</v>
      </c>
      <c r="D517" s="178" t="s">
        <v>32</v>
      </c>
      <c r="E517" s="178" t="s">
        <v>115</v>
      </c>
      <c r="F517" s="178">
        <v>989</v>
      </c>
      <c r="G517" s="178">
        <v>280</v>
      </c>
      <c r="H517" s="178">
        <v>18</v>
      </c>
      <c r="I517" s="178">
        <v>1</v>
      </c>
      <c r="J517" s="215">
        <v>0.2769</v>
      </c>
    </row>
    <row r="518" spans="1:10">
      <c r="A518" s="176">
        <v>511</v>
      </c>
      <c r="B518" s="178" t="s">
        <v>565</v>
      </c>
      <c r="C518" s="178" t="s">
        <v>114</v>
      </c>
      <c r="D518" s="178" t="s">
        <v>32</v>
      </c>
      <c r="E518" s="178" t="s">
        <v>115</v>
      </c>
      <c r="F518" s="178">
        <v>326</v>
      </c>
      <c r="G518" s="178">
        <v>833</v>
      </c>
      <c r="H518" s="178">
        <v>9</v>
      </c>
      <c r="I518" s="178">
        <v>1</v>
      </c>
      <c r="J518" s="215">
        <v>0.2716</v>
      </c>
    </row>
    <row r="519" spans="1:10">
      <c r="A519" s="176">
        <v>512</v>
      </c>
      <c r="B519" s="178" t="s">
        <v>565</v>
      </c>
      <c r="C519" s="178" t="s">
        <v>129</v>
      </c>
      <c r="D519" s="178" t="s">
        <v>32</v>
      </c>
      <c r="E519" s="178" t="s">
        <v>115</v>
      </c>
      <c r="F519" s="178">
        <v>823</v>
      </c>
      <c r="G519" s="178">
        <v>280</v>
      </c>
      <c r="H519" s="178">
        <v>18</v>
      </c>
      <c r="I519" s="178">
        <v>1</v>
      </c>
      <c r="J519" s="215">
        <v>0.2304</v>
      </c>
    </row>
    <row r="520" spans="1:10">
      <c r="A520" s="176">
        <v>513</v>
      </c>
      <c r="B520" s="178" t="s">
        <v>565</v>
      </c>
      <c r="C520" s="178" t="s">
        <v>114</v>
      </c>
      <c r="D520" s="178" t="s">
        <v>32</v>
      </c>
      <c r="E520" s="178" t="s">
        <v>115</v>
      </c>
      <c r="F520" s="178">
        <v>326</v>
      </c>
      <c r="G520" s="178">
        <v>833</v>
      </c>
      <c r="H520" s="178">
        <v>9</v>
      </c>
      <c r="I520" s="178">
        <v>1</v>
      </c>
      <c r="J520" s="215">
        <v>0.2716</v>
      </c>
    </row>
    <row r="521" spans="1:10">
      <c r="A521" s="176">
        <v>514</v>
      </c>
      <c r="B521" s="178" t="s">
        <v>565</v>
      </c>
      <c r="C521" s="178" t="s">
        <v>129</v>
      </c>
      <c r="D521" s="178" t="s">
        <v>32</v>
      </c>
      <c r="E521" s="178" t="s">
        <v>115</v>
      </c>
      <c r="F521" s="178">
        <v>823</v>
      </c>
      <c r="G521" s="178">
        <v>275</v>
      </c>
      <c r="H521" s="178">
        <v>18</v>
      </c>
      <c r="I521" s="178">
        <v>1</v>
      </c>
      <c r="J521" s="215">
        <v>0.2263</v>
      </c>
    </row>
    <row r="522" spans="1:10">
      <c r="A522" s="176">
        <v>515</v>
      </c>
      <c r="B522" s="178" t="s">
        <v>565</v>
      </c>
      <c r="C522" s="178" t="s">
        <v>114</v>
      </c>
      <c r="D522" s="178" t="s">
        <v>32</v>
      </c>
      <c r="E522" s="178" t="s">
        <v>115</v>
      </c>
      <c r="F522" s="178">
        <v>331</v>
      </c>
      <c r="G522" s="178">
        <v>833</v>
      </c>
      <c r="H522" s="178">
        <v>9</v>
      </c>
      <c r="I522" s="178">
        <v>1</v>
      </c>
      <c r="J522" s="215">
        <v>0.2757</v>
      </c>
    </row>
    <row r="523" spans="1:10">
      <c r="A523" s="176">
        <v>516</v>
      </c>
      <c r="B523" s="178" t="s">
        <v>565</v>
      </c>
      <c r="C523" s="178" t="s">
        <v>221</v>
      </c>
      <c r="D523" s="178" t="s">
        <v>32</v>
      </c>
      <c r="E523" s="178" t="s">
        <v>115</v>
      </c>
      <c r="F523" s="178">
        <v>989</v>
      </c>
      <c r="G523" s="178">
        <v>280</v>
      </c>
      <c r="H523" s="178">
        <v>18</v>
      </c>
      <c r="I523" s="178">
        <v>1</v>
      </c>
      <c r="J523" s="215">
        <v>0.2769</v>
      </c>
    </row>
    <row r="524" spans="1:10">
      <c r="A524" s="176">
        <v>517</v>
      </c>
      <c r="B524" s="178" t="s">
        <v>565</v>
      </c>
      <c r="C524" s="178" t="s">
        <v>114</v>
      </c>
      <c r="D524" s="178" t="s">
        <v>32</v>
      </c>
      <c r="E524" s="178" t="s">
        <v>115</v>
      </c>
      <c r="F524" s="178">
        <v>326</v>
      </c>
      <c r="G524" s="178">
        <v>815</v>
      </c>
      <c r="H524" s="178">
        <v>9</v>
      </c>
      <c r="I524" s="178">
        <v>1</v>
      </c>
      <c r="J524" s="215">
        <v>0.2657</v>
      </c>
    </row>
    <row r="525" spans="1:10">
      <c r="A525" s="176">
        <v>518</v>
      </c>
      <c r="B525" s="178" t="s">
        <v>565</v>
      </c>
      <c r="C525" s="178" t="s">
        <v>129</v>
      </c>
      <c r="D525" s="178" t="s">
        <v>32</v>
      </c>
      <c r="E525" s="178" t="s">
        <v>115</v>
      </c>
      <c r="F525" s="178">
        <v>805</v>
      </c>
      <c r="G525" s="178">
        <v>275</v>
      </c>
      <c r="H525" s="178">
        <v>18</v>
      </c>
      <c r="I525" s="178">
        <v>1</v>
      </c>
      <c r="J525" s="215">
        <v>0.2214</v>
      </c>
    </row>
    <row r="526" spans="1:10">
      <c r="A526" s="176">
        <v>519</v>
      </c>
      <c r="B526" s="178" t="s">
        <v>565</v>
      </c>
      <c r="C526" s="178" t="s">
        <v>114</v>
      </c>
      <c r="D526" s="178" t="s">
        <v>32</v>
      </c>
      <c r="E526" s="178" t="s">
        <v>115</v>
      </c>
      <c r="F526" s="178">
        <v>326</v>
      </c>
      <c r="G526" s="178">
        <v>815</v>
      </c>
      <c r="H526" s="178">
        <v>9</v>
      </c>
      <c r="I526" s="178">
        <v>1</v>
      </c>
      <c r="J526" s="215">
        <v>0.2657</v>
      </c>
    </row>
    <row r="527" spans="1:10">
      <c r="A527" s="176">
        <v>520</v>
      </c>
      <c r="B527" s="178" t="s">
        <v>565</v>
      </c>
      <c r="C527" s="178" t="s">
        <v>129</v>
      </c>
      <c r="D527" s="178" t="s">
        <v>32</v>
      </c>
      <c r="E527" s="178" t="s">
        <v>115</v>
      </c>
      <c r="F527" s="178">
        <v>805</v>
      </c>
      <c r="G527" s="178">
        <v>275</v>
      </c>
      <c r="H527" s="178">
        <v>18</v>
      </c>
      <c r="I527" s="178">
        <v>1</v>
      </c>
      <c r="J527" s="215">
        <v>0.2214</v>
      </c>
    </row>
    <row r="528" spans="1:10">
      <c r="A528" s="176">
        <v>521</v>
      </c>
      <c r="B528" s="178" t="s">
        <v>565</v>
      </c>
      <c r="C528" s="178" t="s">
        <v>114</v>
      </c>
      <c r="D528" s="178" t="s">
        <v>32</v>
      </c>
      <c r="E528" s="178" t="s">
        <v>115</v>
      </c>
      <c r="F528" s="178">
        <v>331</v>
      </c>
      <c r="G528" s="178">
        <v>815</v>
      </c>
      <c r="H528" s="178">
        <v>9</v>
      </c>
      <c r="I528" s="178">
        <v>1</v>
      </c>
      <c r="J528" s="215">
        <v>0.2698</v>
      </c>
    </row>
    <row r="529" spans="1:10">
      <c r="A529" s="176">
        <v>522</v>
      </c>
      <c r="B529" s="178" t="s">
        <v>565</v>
      </c>
      <c r="C529" s="178" t="s">
        <v>142</v>
      </c>
      <c r="D529" s="178" t="s">
        <v>32</v>
      </c>
      <c r="E529" s="178" t="s">
        <v>115</v>
      </c>
      <c r="F529" s="178">
        <v>2469</v>
      </c>
      <c r="G529" s="178">
        <v>280</v>
      </c>
      <c r="H529" s="178">
        <v>18</v>
      </c>
      <c r="I529" s="178">
        <v>1</v>
      </c>
      <c r="J529" s="215">
        <v>0.6913</v>
      </c>
    </row>
    <row r="530" spans="1:10">
      <c r="A530" s="176">
        <v>523</v>
      </c>
      <c r="B530" s="178" t="s">
        <v>565</v>
      </c>
      <c r="C530" s="178" t="s">
        <v>145</v>
      </c>
      <c r="D530" s="178" t="s">
        <v>32</v>
      </c>
      <c r="E530" s="178" t="s">
        <v>115</v>
      </c>
      <c r="F530" s="178">
        <v>2469</v>
      </c>
      <c r="G530" s="178">
        <v>50</v>
      </c>
      <c r="H530" s="178">
        <v>18</v>
      </c>
      <c r="I530" s="178">
        <v>1</v>
      </c>
      <c r="J530" s="215">
        <v>0.1234</v>
      </c>
    </row>
    <row r="531" spans="1:10">
      <c r="A531" s="176">
        <v>524</v>
      </c>
      <c r="B531" s="178" t="s">
        <v>565</v>
      </c>
      <c r="C531" s="178" t="s">
        <v>146</v>
      </c>
      <c r="D531" s="178" t="s">
        <v>32</v>
      </c>
      <c r="E531" s="178" t="s">
        <v>115</v>
      </c>
      <c r="F531" s="178">
        <v>2469</v>
      </c>
      <c r="G531" s="178">
        <v>80</v>
      </c>
      <c r="H531" s="178">
        <v>18</v>
      </c>
      <c r="I531" s="178">
        <v>1</v>
      </c>
      <c r="J531" s="215">
        <v>0.1975</v>
      </c>
    </row>
    <row r="532" spans="1:10">
      <c r="A532" s="176">
        <v>525</v>
      </c>
      <c r="B532" s="178" t="s">
        <v>565</v>
      </c>
      <c r="C532" s="178" t="s">
        <v>486</v>
      </c>
      <c r="D532" s="178" t="s">
        <v>32</v>
      </c>
      <c r="E532" s="178" t="s">
        <v>115</v>
      </c>
      <c r="F532" s="178">
        <v>1675</v>
      </c>
      <c r="G532" s="178">
        <v>300</v>
      </c>
      <c r="H532" s="178">
        <v>18</v>
      </c>
      <c r="I532" s="178">
        <v>1</v>
      </c>
      <c r="J532" s="215">
        <v>0.5025</v>
      </c>
    </row>
    <row r="533" spans="1:10">
      <c r="A533" s="176">
        <v>526</v>
      </c>
      <c r="B533" s="178" t="s">
        <v>565</v>
      </c>
      <c r="C533" s="178" t="s">
        <v>31</v>
      </c>
      <c r="D533" s="178" t="s">
        <v>32</v>
      </c>
      <c r="E533" s="178" t="s">
        <v>111</v>
      </c>
      <c r="F533" s="178">
        <v>1062</v>
      </c>
      <c r="G533" s="178">
        <v>408.5</v>
      </c>
      <c r="H533" s="178">
        <v>18</v>
      </c>
      <c r="I533" s="178">
        <v>1</v>
      </c>
      <c r="J533" s="215">
        <v>0.4338</v>
      </c>
    </row>
    <row r="534" spans="1:10">
      <c r="A534" s="176">
        <v>527</v>
      </c>
      <c r="B534" s="178" t="s">
        <v>565</v>
      </c>
      <c r="C534" s="178" t="s">
        <v>35</v>
      </c>
      <c r="D534" s="178" t="s">
        <v>32</v>
      </c>
      <c r="E534" s="178" t="s">
        <v>111</v>
      </c>
      <c r="F534" s="178">
        <v>1062</v>
      </c>
      <c r="G534" s="178">
        <v>408.5</v>
      </c>
      <c r="H534" s="178">
        <v>18</v>
      </c>
      <c r="I534" s="178">
        <v>1</v>
      </c>
      <c r="J534" s="215">
        <v>0.4338</v>
      </c>
    </row>
    <row r="535" spans="1:10">
      <c r="A535" s="176">
        <v>528</v>
      </c>
      <c r="B535" s="178" t="s">
        <v>565</v>
      </c>
      <c r="C535" s="178" t="s">
        <v>31</v>
      </c>
      <c r="D535" s="178" t="s">
        <v>32</v>
      </c>
      <c r="E535" s="178" t="s">
        <v>111</v>
      </c>
      <c r="F535" s="178">
        <v>728</v>
      </c>
      <c r="G535" s="178">
        <v>408.5</v>
      </c>
      <c r="H535" s="178">
        <v>18</v>
      </c>
      <c r="I535" s="178">
        <v>1</v>
      </c>
      <c r="J535" s="215">
        <v>0.2974</v>
      </c>
    </row>
    <row r="536" spans="1:10">
      <c r="A536" s="176">
        <v>529</v>
      </c>
      <c r="B536" s="178" t="s">
        <v>565</v>
      </c>
      <c r="C536" s="178" t="s">
        <v>35</v>
      </c>
      <c r="D536" s="178" t="s">
        <v>32</v>
      </c>
      <c r="E536" s="178" t="s">
        <v>111</v>
      </c>
      <c r="F536" s="178">
        <v>728</v>
      </c>
      <c r="G536" s="178">
        <v>408.5</v>
      </c>
      <c r="H536" s="178">
        <v>18</v>
      </c>
      <c r="I536" s="178">
        <v>1</v>
      </c>
      <c r="J536" s="215">
        <v>0.2974</v>
      </c>
    </row>
    <row r="537" spans="1:10">
      <c r="A537" s="176">
        <v>530</v>
      </c>
      <c r="B537" s="178" t="s">
        <v>565</v>
      </c>
      <c r="C537" s="178" t="s">
        <v>31</v>
      </c>
      <c r="D537" s="178" t="s">
        <v>32</v>
      </c>
      <c r="E537" s="178" t="s">
        <v>111</v>
      </c>
      <c r="F537" s="178">
        <v>1062</v>
      </c>
      <c r="G537" s="178">
        <v>408.5</v>
      </c>
      <c r="H537" s="178">
        <v>18</v>
      </c>
      <c r="I537" s="178">
        <v>1</v>
      </c>
      <c r="J537" s="215">
        <v>0.4338</v>
      </c>
    </row>
    <row r="538" spans="1:10">
      <c r="A538" s="176">
        <v>531</v>
      </c>
      <c r="B538" s="178" t="s">
        <v>565</v>
      </c>
      <c r="C538" s="178" t="s">
        <v>35</v>
      </c>
      <c r="D538" s="178" t="s">
        <v>32</v>
      </c>
      <c r="E538" s="178" t="s">
        <v>111</v>
      </c>
      <c r="F538" s="178">
        <v>1062</v>
      </c>
      <c r="G538" s="178">
        <v>408.5</v>
      </c>
      <c r="H538" s="178">
        <v>18</v>
      </c>
      <c r="I538" s="178">
        <v>1</v>
      </c>
      <c r="J538" s="215">
        <v>0.4338</v>
      </c>
    </row>
    <row r="539" spans="1:10">
      <c r="A539" s="176">
        <v>532</v>
      </c>
      <c r="B539" s="178" t="s">
        <v>41</v>
      </c>
      <c r="C539" s="178" t="s">
        <v>110</v>
      </c>
      <c r="D539" s="178" t="s">
        <v>32</v>
      </c>
      <c r="E539" s="178" t="s">
        <v>111</v>
      </c>
      <c r="F539" s="178">
        <v>2420</v>
      </c>
      <c r="G539" s="178">
        <v>350</v>
      </c>
      <c r="H539" s="178">
        <v>18</v>
      </c>
      <c r="I539" s="178">
        <v>1</v>
      </c>
      <c r="J539" s="215">
        <v>0.847</v>
      </c>
    </row>
    <row r="540" spans="1:10">
      <c r="A540" s="176">
        <v>533</v>
      </c>
      <c r="B540" s="178" t="s">
        <v>41</v>
      </c>
      <c r="C540" s="178" t="s">
        <v>199</v>
      </c>
      <c r="D540" s="178" t="s">
        <v>32</v>
      </c>
      <c r="E540" s="178" t="s">
        <v>115</v>
      </c>
      <c r="F540" s="178">
        <v>450</v>
      </c>
      <c r="G540" s="178">
        <v>60</v>
      </c>
      <c r="H540" s="178">
        <v>18</v>
      </c>
      <c r="I540" s="178">
        <v>1</v>
      </c>
      <c r="J540" s="215">
        <v>0.027</v>
      </c>
    </row>
    <row r="541" spans="1:10">
      <c r="A541" s="176">
        <v>534</v>
      </c>
      <c r="B541" s="178" t="s">
        <v>41</v>
      </c>
      <c r="C541" s="178" t="s">
        <v>199</v>
      </c>
      <c r="D541" s="178" t="s">
        <v>32</v>
      </c>
      <c r="E541" s="178" t="s">
        <v>115</v>
      </c>
      <c r="F541" s="178">
        <v>450</v>
      </c>
      <c r="G541" s="178">
        <v>60</v>
      </c>
      <c r="H541" s="178">
        <v>18</v>
      </c>
      <c r="I541" s="178">
        <v>1</v>
      </c>
      <c r="J541" s="215">
        <v>0.027</v>
      </c>
    </row>
    <row r="542" spans="1:10">
      <c r="A542" s="176">
        <v>535</v>
      </c>
      <c r="B542" s="178" t="s">
        <v>41</v>
      </c>
      <c r="C542" s="178" t="s">
        <v>117</v>
      </c>
      <c r="D542" s="178" t="s">
        <v>32</v>
      </c>
      <c r="E542" s="178" t="s">
        <v>115</v>
      </c>
      <c r="F542" s="178">
        <v>450</v>
      </c>
      <c r="G542" s="178">
        <v>330</v>
      </c>
      <c r="H542" s="178">
        <v>18</v>
      </c>
      <c r="I542" s="178">
        <v>1</v>
      </c>
      <c r="J542" s="215">
        <v>0.1485</v>
      </c>
    </row>
    <row r="543" spans="1:10">
      <c r="A543" s="176">
        <v>536</v>
      </c>
      <c r="B543" s="178" t="s">
        <v>41</v>
      </c>
      <c r="C543" s="178" t="s">
        <v>114</v>
      </c>
      <c r="D543" s="178" t="s">
        <v>32</v>
      </c>
      <c r="E543" s="178" t="s">
        <v>115</v>
      </c>
      <c r="F543" s="178">
        <v>450</v>
      </c>
      <c r="G543" s="178">
        <v>460</v>
      </c>
      <c r="H543" s="178">
        <v>9</v>
      </c>
      <c r="I543" s="178">
        <v>1</v>
      </c>
      <c r="J543" s="215">
        <v>0.207</v>
      </c>
    </row>
    <row r="544" spans="1:10">
      <c r="A544" s="176">
        <v>537</v>
      </c>
      <c r="B544" s="178" t="s">
        <v>41</v>
      </c>
      <c r="C544" s="178" t="s">
        <v>129</v>
      </c>
      <c r="D544" s="178" t="s">
        <v>32</v>
      </c>
      <c r="E544" s="178" t="s">
        <v>115</v>
      </c>
      <c r="F544" s="178">
        <v>450</v>
      </c>
      <c r="G544" s="178">
        <v>325</v>
      </c>
      <c r="H544" s="178">
        <v>18</v>
      </c>
      <c r="I544" s="178">
        <v>1</v>
      </c>
      <c r="J544" s="215">
        <v>0.1462</v>
      </c>
    </row>
    <row r="545" spans="1:10">
      <c r="A545" s="176">
        <v>538</v>
      </c>
      <c r="B545" s="178" t="s">
        <v>41</v>
      </c>
      <c r="C545" s="178" t="s">
        <v>114</v>
      </c>
      <c r="D545" s="178" t="s">
        <v>32</v>
      </c>
      <c r="E545" s="178" t="s">
        <v>115</v>
      </c>
      <c r="F545" s="178">
        <v>450</v>
      </c>
      <c r="G545" s="178">
        <v>460</v>
      </c>
      <c r="H545" s="178">
        <v>9</v>
      </c>
      <c r="I545" s="178">
        <v>1</v>
      </c>
      <c r="J545" s="215">
        <v>0.207</v>
      </c>
    </row>
    <row r="546" spans="1:10">
      <c r="A546" s="176">
        <v>539</v>
      </c>
      <c r="B546" s="178" t="s">
        <v>41</v>
      </c>
      <c r="C546" s="178" t="s">
        <v>129</v>
      </c>
      <c r="D546" s="178" t="s">
        <v>32</v>
      </c>
      <c r="E546" s="178" t="s">
        <v>115</v>
      </c>
      <c r="F546" s="178">
        <v>450</v>
      </c>
      <c r="G546" s="178">
        <v>325</v>
      </c>
      <c r="H546" s="178">
        <v>18</v>
      </c>
      <c r="I546" s="178">
        <v>1</v>
      </c>
      <c r="J546" s="215">
        <v>0.1462</v>
      </c>
    </row>
    <row r="547" spans="1:10">
      <c r="A547" s="176">
        <v>540</v>
      </c>
      <c r="B547" s="178" t="s">
        <v>41</v>
      </c>
      <c r="C547" s="178" t="s">
        <v>114</v>
      </c>
      <c r="D547" s="178" t="s">
        <v>32</v>
      </c>
      <c r="E547" s="178" t="s">
        <v>115</v>
      </c>
      <c r="F547" s="178">
        <v>450</v>
      </c>
      <c r="G547" s="178">
        <v>460</v>
      </c>
      <c r="H547" s="178">
        <v>9</v>
      </c>
      <c r="I547" s="178">
        <v>1</v>
      </c>
      <c r="J547" s="215">
        <v>0.207</v>
      </c>
    </row>
    <row r="548" spans="1:10">
      <c r="A548" s="176">
        <v>541</v>
      </c>
      <c r="B548" s="178" t="s">
        <v>41</v>
      </c>
      <c r="C548" s="178" t="s">
        <v>129</v>
      </c>
      <c r="D548" s="178" t="s">
        <v>32</v>
      </c>
      <c r="E548" s="178" t="s">
        <v>115</v>
      </c>
      <c r="F548" s="178">
        <v>450</v>
      </c>
      <c r="G548" s="178">
        <v>325</v>
      </c>
      <c r="H548" s="178">
        <v>18</v>
      </c>
      <c r="I548" s="178">
        <v>1</v>
      </c>
      <c r="J548" s="215">
        <v>0.1462</v>
      </c>
    </row>
    <row r="549" spans="1:10">
      <c r="A549" s="176">
        <v>542</v>
      </c>
      <c r="B549" s="178" t="s">
        <v>41</v>
      </c>
      <c r="C549" s="178" t="s">
        <v>114</v>
      </c>
      <c r="D549" s="178" t="s">
        <v>32</v>
      </c>
      <c r="E549" s="178" t="s">
        <v>115</v>
      </c>
      <c r="F549" s="178">
        <v>450</v>
      </c>
      <c r="G549" s="178">
        <v>460</v>
      </c>
      <c r="H549" s="178">
        <v>9</v>
      </c>
      <c r="I549" s="178">
        <v>1</v>
      </c>
      <c r="J549" s="215">
        <v>0.207</v>
      </c>
    </row>
    <row r="550" spans="1:10">
      <c r="A550" s="176">
        <v>543</v>
      </c>
      <c r="B550" s="178" t="s">
        <v>41</v>
      </c>
      <c r="C550" s="178" t="s">
        <v>180</v>
      </c>
      <c r="D550" s="178" t="s">
        <v>32</v>
      </c>
      <c r="E550" s="178" t="s">
        <v>115</v>
      </c>
      <c r="F550" s="178">
        <v>450</v>
      </c>
      <c r="G550" s="178">
        <v>80</v>
      </c>
      <c r="H550" s="178">
        <v>18</v>
      </c>
      <c r="I550" s="178">
        <v>1</v>
      </c>
      <c r="J550" s="215">
        <v>0.036</v>
      </c>
    </row>
    <row r="551" spans="1:10">
      <c r="A551" s="176">
        <v>544</v>
      </c>
      <c r="B551" s="178" t="s">
        <v>41</v>
      </c>
      <c r="C551" s="178" t="s">
        <v>129</v>
      </c>
      <c r="D551" s="178" t="s">
        <v>32</v>
      </c>
      <c r="E551" s="178" t="s">
        <v>115</v>
      </c>
      <c r="F551" s="178">
        <v>450</v>
      </c>
      <c r="G551" s="178">
        <v>325</v>
      </c>
      <c r="H551" s="178">
        <v>18</v>
      </c>
      <c r="I551" s="178">
        <v>1</v>
      </c>
      <c r="J551" s="215">
        <v>0.1462</v>
      </c>
    </row>
    <row r="552" spans="1:10">
      <c r="A552" s="176">
        <v>545</v>
      </c>
      <c r="B552" s="178" t="s">
        <v>41</v>
      </c>
      <c r="C552" s="178" t="s">
        <v>114</v>
      </c>
      <c r="D552" s="178" t="s">
        <v>32</v>
      </c>
      <c r="E552" s="178" t="s">
        <v>115</v>
      </c>
      <c r="F552" s="178">
        <v>452</v>
      </c>
      <c r="G552" s="178">
        <v>460</v>
      </c>
      <c r="H552" s="178">
        <v>9</v>
      </c>
      <c r="I552" s="178">
        <v>1</v>
      </c>
      <c r="J552" s="215">
        <v>0.2079</v>
      </c>
    </row>
    <row r="553" spans="1:10">
      <c r="A553" s="176">
        <v>546</v>
      </c>
      <c r="B553" s="178" t="s">
        <v>41</v>
      </c>
      <c r="C553" s="178" t="s">
        <v>180</v>
      </c>
      <c r="D553" s="178" t="s">
        <v>32</v>
      </c>
      <c r="E553" s="178" t="s">
        <v>115</v>
      </c>
      <c r="F553" s="178">
        <v>450</v>
      </c>
      <c r="G553" s="178">
        <v>80</v>
      </c>
      <c r="H553" s="178">
        <v>18</v>
      </c>
      <c r="I553" s="178">
        <v>1</v>
      </c>
      <c r="J553" s="215">
        <v>0.036</v>
      </c>
    </row>
    <row r="554" spans="1:10">
      <c r="A554" s="176">
        <v>547</v>
      </c>
      <c r="B554" s="178" t="s">
        <v>41</v>
      </c>
      <c r="C554" s="178" t="s">
        <v>142</v>
      </c>
      <c r="D554" s="178" t="s">
        <v>32</v>
      </c>
      <c r="E554" s="178" t="s">
        <v>115</v>
      </c>
      <c r="F554" s="178">
        <v>450</v>
      </c>
      <c r="G554" s="178">
        <v>330</v>
      </c>
      <c r="H554" s="178">
        <v>18</v>
      </c>
      <c r="I554" s="178">
        <v>1</v>
      </c>
      <c r="J554" s="215">
        <v>0.1485</v>
      </c>
    </row>
    <row r="555" spans="1:10">
      <c r="A555" s="176">
        <v>548</v>
      </c>
      <c r="B555" s="178" t="s">
        <v>41</v>
      </c>
      <c r="C555" s="178" t="s">
        <v>145</v>
      </c>
      <c r="D555" s="178" t="s">
        <v>32</v>
      </c>
      <c r="E555" s="178" t="s">
        <v>115</v>
      </c>
      <c r="F555" s="178">
        <v>450</v>
      </c>
      <c r="G555" s="178">
        <v>50</v>
      </c>
      <c r="H555" s="178">
        <v>18</v>
      </c>
      <c r="I555" s="178">
        <v>1</v>
      </c>
      <c r="J555" s="215">
        <v>0.0225</v>
      </c>
    </row>
    <row r="556" spans="1:10">
      <c r="A556" s="176">
        <v>549</v>
      </c>
      <c r="B556" s="178" t="s">
        <v>41</v>
      </c>
      <c r="C556" s="178" t="s">
        <v>146</v>
      </c>
      <c r="D556" s="178" t="s">
        <v>32</v>
      </c>
      <c r="E556" s="178" t="s">
        <v>115</v>
      </c>
      <c r="F556" s="178">
        <v>450</v>
      </c>
      <c r="G556" s="178">
        <v>80</v>
      </c>
      <c r="H556" s="178">
        <v>18</v>
      </c>
      <c r="I556" s="178">
        <v>1</v>
      </c>
      <c r="J556" s="215">
        <v>0.036</v>
      </c>
    </row>
    <row r="557" spans="1:10">
      <c r="A557" s="176">
        <v>550</v>
      </c>
      <c r="B557" s="178" t="s">
        <v>41</v>
      </c>
      <c r="C557" s="178" t="s">
        <v>223</v>
      </c>
      <c r="D557" s="178" t="s">
        <v>32</v>
      </c>
      <c r="E557" s="178" t="s">
        <v>111</v>
      </c>
      <c r="F557" s="178">
        <v>2420</v>
      </c>
      <c r="G557" s="178">
        <v>350</v>
      </c>
      <c r="H557" s="178">
        <v>18</v>
      </c>
      <c r="I557" s="178">
        <v>1</v>
      </c>
      <c r="J557" s="215">
        <v>0.847</v>
      </c>
    </row>
    <row r="558" spans="1:10">
      <c r="A558" s="176">
        <v>551</v>
      </c>
      <c r="B558" s="178" t="s">
        <v>41</v>
      </c>
      <c r="C558" s="178" t="s">
        <v>31</v>
      </c>
      <c r="D558" s="178" t="s">
        <v>32</v>
      </c>
      <c r="E558" s="178" t="s">
        <v>33</v>
      </c>
      <c r="F558" s="178">
        <v>2387</v>
      </c>
      <c r="G558" s="178">
        <v>445</v>
      </c>
      <c r="H558" s="178">
        <v>18</v>
      </c>
      <c r="I558" s="178">
        <v>1</v>
      </c>
      <c r="J558" s="215">
        <v>1.0622</v>
      </c>
    </row>
    <row r="559" spans="1:10">
      <c r="A559" s="176">
        <v>552</v>
      </c>
      <c r="B559" s="178" t="s">
        <v>566</v>
      </c>
      <c r="C559" s="178" t="s">
        <v>110</v>
      </c>
      <c r="D559" s="178" t="s">
        <v>32</v>
      </c>
      <c r="E559" s="178" t="s">
        <v>115</v>
      </c>
      <c r="F559" s="178">
        <v>300</v>
      </c>
      <c r="G559" s="178">
        <v>330</v>
      </c>
      <c r="H559" s="178">
        <v>18</v>
      </c>
      <c r="I559" s="178">
        <v>1</v>
      </c>
      <c r="J559" s="215">
        <v>0.099</v>
      </c>
    </row>
    <row r="560" spans="1:10">
      <c r="A560" s="176">
        <v>553</v>
      </c>
      <c r="B560" s="178" t="s">
        <v>566</v>
      </c>
      <c r="C560" s="178" t="s">
        <v>516</v>
      </c>
      <c r="D560" s="178" t="s">
        <v>32</v>
      </c>
      <c r="E560" s="178" t="s">
        <v>115</v>
      </c>
      <c r="F560" s="178">
        <v>660</v>
      </c>
      <c r="G560" s="178">
        <v>80</v>
      </c>
      <c r="H560" s="178">
        <v>18</v>
      </c>
      <c r="I560" s="178">
        <v>1</v>
      </c>
      <c r="J560" s="215">
        <v>0.0528</v>
      </c>
    </row>
    <row r="561" spans="1:10">
      <c r="A561" s="176">
        <v>554</v>
      </c>
      <c r="B561" s="178" t="s">
        <v>566</v>
      </c>
      <c r="C561" s="178" t="s">
        <v>516</v>
      </c>
      <c r="D561" s="178" t="s">
        <v>32</v>
      </c>
      <c r="E561" s="178" t="s">
        <v>115</v>
      </c>
      <c r="F561" s="178">
        <v>660</v>
      </c>
      <c r="G561" s="178">
        <v>80</v>
      </c>
      <c r="H561" s="178">
        <v>18</v>
      </c>
      <c r="I561" s="178">
        <v>1</v>
      </c>
      <c r="J561" s="215">
        <v>0.0528</v>
      </c>
    </row>
    <row r="562" spans="1:10">
      <c r="A562" s="176">
        <v>555</v>
      </c>
      <c r="B562" s="178" t="s">
        <v>566</v>
      </c>
      <c r="C562" s="178" t="s">
        <v>117</v>
      </c>
      <c r="D562" s="178" t="s">
        <v>32</v>
      </c>
      <c r="E562" s="178" t="s">
        <v>115</v>
      </c>
      <c r="F562" s="178">
        <v>660</v>
      </c>
      <c r="G562" s="178">
        <v>330</v>
      </c>
      <c r="H562" s="178">
        <v>18</v>
      </c>
      <c r="I562" s="178">
        <v>1</v>
      </c>
      <c r="J562" s="215">
        <v>0.2178</v>
      </c>
    </row>
    <row r="563" spans="1:10">
      <c r="A563" s="176">
        <v>556</v>
      </c>
      <c r="B563" s="178" t="s">
        <v>566</v>
      </c>
      <c r="C563" s="178" t="s">
        <v>119</v>
      </c>
      <c r="D563" s="178" t="s">
        <v>32</v>
      </c>
      <c r="E563" s="178" t="s">
        <v>111</v>
      </c>
      <c r="F563" s="178">
        <v>693</v>
      </c>
      <c r="G563" s="178">
        <v>277</v>
      </c>
      <c r="H563" s="178">
        <v>18</v>
      </c>
      <c r="I563" s="178">
        <v>1</v>
      </c>
      <c r="J563" s="215">
        <v>0.192</v>
      </c>
    </row>
    <row r="564" spans="1:10">
      <c r="A564" s="176">
        <v>557</v>
      </c>
      <c r="B564" s="178" t="s">
        <v>566</v>
      </c>
      <c r="C564" s="178" t="s">
        <v>121</v>
      </c>
      <c r="D564" s="178" t="s">
        <v>32</v>
      </c>
      <c r="E564" s="178" t="s">
        <v>115</v>
      </c>
      <c r="F564" s="178">
        <v>598</v>
      </c>
      <c r="G564" s="178">
        <v>220</v>
      </c>
      <c r="H564" s="178">
        <v>18</v>
      </c>
      <c r="I564" s="178">
        <v>1</v>
      </c>
      <c r="J564" s="215">
        <v>0.1316</v>
      </c>
    </row>
    <row r="565" spans="1:10">
      <c r="A565" s="176">
        <v>558</v>
      </c>
      <c r="B565" s="178" t="s">
        <v>566</v>
      </c>
      <c r="C565" s="178" t="s">
        <v>123</v>
      </c>
      <c r="D565" s="178" t="s">
        <v>32</v>
      </c>
      <c r="E565" s="178" t="s">
        <v>115</v>
      </c>
      <c r="F565" s="178">
        <v>598</v>
      </c>
      <c r="G565" s="178">
        <v>220</v>
      </c>
      <c r="H565" s="178">
        <v>18</v>
      </c>
      <c r="I565" s="178">
        <v>1</v>
      </c>
      <c r="J565" s="215">
        <v>0.1316</v>
      </c>
    </row>
    <row r="566" spans="1:10">
      <c r="A566" s="176">
        <v>559</v>
      </c>
      <c r="B566" s="178" t="s">
        <v>566</v>
      </c>
      <c r="C566" s="178" t="s">
        <v>124</v>
      </c>
      <c r="D566" s="178" t="s">
        <v>32</v>
      </c>
      <c r="E566" s="178" t="s">
        <v>115</v>
      </c>
      <c r="F566" s="178">
        <v>250</v>
      </c>
      <c r="G566" s="178">
        <v>220</v>
      </c>
      <c r="H566" s="178">
        <v>18</v>
      </c>
      <c r="I566" s="178">
        <v>1</v>
      </c>
      <c r="J566" s="215">
        <v>0.055</v>
      </c>
    </row>
    <row r="567" spans="1:10">
      <c r="A567" s="176">
        <v>560</v>
      </c>
      <c r="B567" s="178" t="s">
        <v>566</v>
      </c>
      <c r="C567" s="178" t="s">
        <v>126</v>
      </c>
      <c r="D567" s="178" t="s">
        <v>32</v>
      </c>
      <c r="E567" s="178" t="s">
        <v>115</v>
      </c>
      <c r="F567" s="178">
        <v>250</v>
      </c>
      <c r="G567" s="178">
        <v>220</v>
      </c>
      <c r="H567" s="178">
        <v>18</v>
      </c>
      <c r="I567" s="178">
        <v>1</v>
      </c>
      <c r="J567" s="215">
        <v>0.055</v>
      </c>
    </row>
    <row r="568" spans="1:10">
      <c r="A568" s="176">
        <v>561</v>
      </c>
      <c r="B568" s="178" t="s">
        <v>566</v>
      </c>
      <c r="C568" s="178" t="s">
        <v>127</v>
      </c>
      <c r="D568" s="178" t="s">
        <v>32</v>
      </c>
      <c r="E568" s="178" t="s">
        <v>115</v>
      </c>
      <c r="F568" s="178">
        <v>608</v>
      </c>
      <c r="G568" s="178">
        <v>224</v>
      </c>
      <c r="H568" s="178">
        <v>9</v>
      </c>
      <c r="I568" s="178">
        <v>1</v>
      </c>
      <c r="J568" s="215">
        <v>0.1362</v>
      </c>
    </row>
    <row r="569" spans="1:10">
      <c r="A569" s="176">
        <v>562</v>
      </c>
      <c r="B569" s="178" t="s">
        <v>566</v>
      </c>
      <c r="C569" s="178" t="s">
        <v>114</v>
      </c>
      <c r="D569" s="178" t="s">
        <v>32</v>
      </c>
      <c r="E569" s="178" t="s">
        <v>115</v>
      </c>
      <c r="F569" s="178">
        <v>274</v>
      </c>
      <c r="G569" s="178">
        <v>670</v>
      </c>
      <c r="H569" s="178">
        <v>9</v>
      </c>
      <c r="I569" s="178">
        <v>1</v>
      </c>
      <c r="J569" s="215">
        <v>0.1836</v>
      </c>
    </row>
    <row r="570" spans="1:10">
      <c r="A570" s="176">
        <v>563</v>
      </c>
      <c r="B570" s="178" t="s">
        <v>566</v>
      </c>
      <c r="C570" s="178" t="s">
        <v>223</v>
      </c>
      <c r="D570" s="178" t="s">
        <v>32</v>
      </c>
      <c r="E570" s="178" t="s">
        <v>115</v>
      </c>
      <c r="F570" s="178">
        <v>300</v>
      </c>
      <c r="G570" s="178">
        <v>330</v>
      </c>
      <c r="H570" s="178">
        <v>18</v>
      </c>
      <c r="I570" s="178">
        <v>1</v>
      </c>
      <c r="J570" s="215">
        <v>0.099</v>
      </c>
    </row>
    <row r="571" spans="1:10">
      <c r="A571" s="176">
        <v>564</v>
      </c>
      <c r="B571" s="178" t="s">
        <v>566</v>
      </c>
      <c r="C571" s="178" t="s">
        <v>142</v>
      </c>
      <c r="D571" s="178" t="s">
        <v>32</v>
      </c>
      <c r="E571" s="178" t="s">
        <v>111</v>
      </c>
      <c r="F571" s="178">
        <v>696</v>
      </c>
      <c r="G571" s="178">
        <v>350</v>
      </c>
      <c r="H571" s="178">
        <v>18</v>
      </c>
      <c r="I571" s="178">
        <v>1</v>
      </c>
      <c r="J571" s="215">
        <v>0.2436</v>
      </c>
    </row>
    <row r="572" spans="1:10">
      <c r="A572" s="176">
        <v>565</v>
      </c>
      <c r="B572" s="178" t="s">
        <v>567</v>
      </c>
      <c r="C572" s="178" t="s">
        <v>110</v>
      </c>
      <c r="D572" s="178" t="s">
        <v>32</v>
      </c>
      <c r="E572" s="178" t="s">
        <v>115</v>
      </c>
      <c r="F572" s="178">
        <v>300</v>
      </c>
      <c r="G572" s="178">
        <v>330</v>
      </c>
      <c r="H572" s="178">
        <v>18</v>
      </c>
      <c r="I572" s="178">
        <v>1</v>
      </c>
      <c r="J572" s="215">
        <v>0.099</v>
      </c>
    </row>
    <row r="573" spans="1:10">
      <c r="A573" s="176">
        <v>566</v>
      </c>
      <c r="B573" s="178" t="s">
        <v>567</v>
      </c>
      <c r="C573" s="178" t="s">
        <v>516</v>
      </c>
      <c r="D573" s="178" t="s">
        <v>32</v>
      </c>
      <c r="E573" s="178" t="s">
        <v>115</v>
      </c>
      <c r="F573" s="178">
        <v>857</v>
      </c>
      <c r="G573" s="178">
        <v>80</v>
      </c>
      <c r="H573" s="178">
        <v>18</v>
      </c>
      <c r="I573" s="178">
        <v>1</v>
      </c>
      <c r="J573" s="215">
        <v>0.0686</v>
      </c>
    </row>
    <row r="574" spans="1:10">
      <c r="A574" s="176">
        <v>567</v>
      </c>
      <c r="B574" s="178" t="s">
        <v>567</v>
      </c>
      <c r="C574" s="178" t="s">
        <v>516</v>
      </c>
      <c r="D574" s="178" t="s">
        <v>32</v>
      </c>
      <c r="E574" s="178" t="s">
        <v>115</v>
      </c>
      <c r="F574" s="178">
        <v>857</v>
      </c>
      <c r="G574" s="178">
        <v>80</v>
      </c>
      <c r="H574" s="178">
        <v>18</v>
      </c>
      <c r="I574" s="178">
        <v>1</v>
      </c>
      <c r="J574" s="215">
        <v>0.0686</v>
      </c>
    </row>
    <row r="575" spans="1:10">
      <c r="A575" s="176">
        <v>568</v>
      </c>
      <c r="B575" s="178" t="s">
        <v>567</v>
      </c>
      <c r="C575" s="178" t="s">
        <v>117</v>
      </c>
      <c r="D575" s="178" t="s">
        <v>32</v>
      </c>
      <c r="E575" s="178" t="s">
        <v>115</v>
      </c>
      <c r="F575" s="178">
        <v>857</v>
      </c>
      <c r="G575" s="178">
        <v>330</v>
      </c>
      <c r="H575" s="178">
        <v>18</v>
      </c>
      <c r="I575" s="178">
        <v>1</v>
      </c>
      <c r="J575" s="215">
        <v>0.2828</v>
      </c>
    </row>
    <row r="576" spans="1:10">
      <c r="A576" s="176">
        <v>569</v>
      </c>
      <c r="B576" s="178" t="s">
        <v>567</v>
      </c>
      <c r="C576" s="178" t="s">
        <v>114</v>
      </c>
      <c r="D576" s="178" t="s">
        <v>32</v>
      </c>
      <c r="E576" s="178" t="s">
        <v>115</v>
      </c>
      <c r="F576" s="178">
        <v>264</v>
      </c>
      <c r="G576" s="178">
        <v>857</v>
      </c>
      <c r="H576" s="178">
        <v>18</v>
      </c>
      <c r="I576" s="178">
        <v>1</v>
      </c>
      <c r="J576" s="215">
        <v>0.2262</v>
      </c>
    </row>
    <row r="577" spans="1:10">
      <c r="A577" s="176">
        <v>570</v>
      </c>
      <c r="B577" s="178" t="s">
        <v>567</v>
      </c>
      <c r="C577" s="178" t="s">
        <v>223</v>
      </c>
      <c r="D577" s="178" t="s">
        <v>32</v>
      </c>
      <c r="E577" s="178" t="s">
        <v>115</v>
      </c>
      <c r="F577" s="178">
        <v>300</v>
      </c>
      <c r="G577" s="178">
        <v>330</v>
      </c>
      <c r="H577" s="178">
        <v>18</v>
      </c>
      <c r="I577" s="178">
        <v>1</v>
      </c>
      <c r="J577" s="215">
        <v>0.099</v>
      </c>
    </row>
    <row r="578" spans="1:10">
      <c r="A578" s="176">
        <v>571</v>
      </c>
      <c r="B578" s="178" t="s">
        <v>567</v>
      </c>
      <c r="C578" s="178" t="s">
        <v>220</v>
      </c>
      <c r="D578" s="178" t="s">
        <v>32</v>
      </c>
      <c r="E578" s="178" t="s">
        <v>111</v>
      </c>
      <c r="F578" s="178">
        <v>893</v>
      </c>
      <c r="G578" s="178">
        <v>350</v>
      </c>
      <c r="H578" s="178">
        <v>18</v>
      </c>
      <c r="I578" s="178">
        <v>1</v>
      </c>
      <c r="J578" s="215">
        <v>0.3126</v>
      </c>
    </row>
    <row r="579" spans="1:10">
      <c r="A579" s="176">
        <v>572</v>
      </c>
      <c r="B579" s="178" t="s">
        <v>567</v>
      </c>
      <c r="C579" s="178" t="s">
        <v>531</v>
      </c>
      <c r="D579" s="178" t="s">
        <v>32</v>
      </c>
      <c r="E579" s="178" t="s">
        <v>111</v>
      </c>
      <c r="F579" s="178">
        <v>277</v>
      </c>
      <c r="G579" s="178">
        <v>890</v>
      </c>
      <c r="H579" s="178">
        <v>18</v>
      </c>
      <c r="I579" s="178">
        <v>1</v>
      </c>
      <c r="J579" s="215">
        <v>0.2465</v>
      </c>
    </row>
    <row r="580" spans="1:10">
      <c r="A580" s="176">
        <v>573</v>
      </c>
      <c r="B580" s="178" t="s">
        <v>568</v>
      </c>
      <c r="C580" s="178" t="s">
        <v>110</v>
      </c>
      <c r="D580" s="178" t="s">
        <v>32</v>
      </c>
      <c r="E580" s="178" t="s">
        <v>115</v>
      </c>
      <c r="F580" s="178">
        <v>300</v>
      </c>
      <c r="G580" s="178">
        <v>330</v>
      </c>
      <c r="H580" s="178">
        <v>18</v>
      </c>
      <c r="I580" s="178">
        <v>1</v>
      </c>
      <c r="J580" s="215">
        <v>0.099</v>
      </c>
    </row>
    <row r="581" spans="1:10">
      <c r="A581" s="176">
        <v>574</v>
      </c>
      <c r="B581" s="178" t="s">
        <v>568</v>
      </c>
      <c r="C581" s="178" t="s">
        <v>516</v>
      </c>
      <c r="D581" s="178" t="s">
        <v>32</v>
      </c>
      <c r="E581" s="178" t="s">
        <v>115</v>
      </c>
      <c r="F581" s="178">
        <v>1375</v>
      </c>
      <c r="G581" s="178">
        <v>80</v>
      </c>
      <c r="H581" s="178">
        <v>18</v>
      </c>
      <c r="I581" s="178">
        <v>1</v>
      </c>
      <c r="J581" s="215">
        <v>0.11</v>
      </c>
    </row>
    <row r="582" spans="1:10">
      <c r="A582" s="176">
        <v>575</v>
      </c>
      <c r="B582" s="178" t="s">
        <v>568</v>
      </c>
      <c r="C582" s="178" t="s">
        <v>516</v>
      </c>
      <c r="D582" s="178" t="s">
        <v>32</v>
      </c>
      <c r="E582" s="178" t="s">
        <v>115</v>
      </c>
      <c r="F582" s="178">
        <v>1375</v>
      </c>
      <c r="G582" s="178">
        <v>80</v>
      </c>
      <c r="H582" s="178">
        <v>18</v>
      </c>
      <c r="I582" s="178">
        <v>1</v>
      </c>
      <c r="J582" s="215">
        <v>0.11</v>
      </c>
    </row>
    <row r="583" spans="1:10">
      <c r="A583" s="176">
        <v>576</v>
      </c>
      <c r="B583" s="178" t="s">
        <v>568</v>
      </c>
      <c r="C583" s="178" t="s">
        <v>117</v>
      </c>
      <c r="D583" s="178" t="s">
        <v>32</v>
      </c>
      <c r="E583" s="178" t="s">
        <v>115</v>
      </c>
      <c r="F583" s="178">
        <v>1375</v>
      </c>
      <c r="G583" s="178">
        <v>330</v>
      </c>
      <c r="H583" s="178">
        <v>18</v>
      </c>
      <c r="I583" s="178">
        <v>1</v>
      </c>
      <c r="J583" s="215">
        <v>0.4538</v>
      </c>
    </row>
    <row r="584" spans="1:10">
      <c r="A584" s="176">
        <v>577</v>
      </c>
      <c r="B584" s="178" t="s">
        <v>568</v>
      </c>
      <c r="C584" s="178" t="s">
        <v>119</v>
      </c>
      <c r="D584" s="178" t="s">
        <v>32</v>
      </c>
      <c r="E584" s="178" t="s">
        <v>111</v>
      </c>
      <c r="F584" s="178">
        <v>694</v>
      </c>
      <c r="G584" s="178">
        <v>277</v>
      </c>
      <c r="H584" s="178">
        <v>18</v>
      </c>
      <c r="I584" s="178">
        <v>1</v>
      </c>
      <c r="J584" s="215">
        <v>0.1922</v>
      </c>
    </row>
    <row r="585" spans="1:10">
      <c r="A585" s="176">
        <v>578</v>
      </c>
      <c r="B585" s="178" t="s">
        <v>568</v>
      </c>
      <c r="C585" s="178" t="s">
        <v>121</v>
      </c>
      <c r="D585" s="178" t="s">
        <v>32</v>
      </c>
      <c r="E585" s="178" t="s">
        <v>115</v>
      </c>
      <c r="F585" s="178">
        <v>608</v>
      </c>
      <c r="G585" s="178">
        <v>220</v>
      </c>
      <c r="H585" s="178">
        <v>18</v>
      </c>
      <c r="I585" s="178">
        <v>1</v>
      </c>
      <c r="J585" s="215">
        <v>0.1338</v>
      </c>
    </row>
    <row r="586" spans="1:10">
      <c r="A586" s="176">
        <v>579</v>
      </c>
      <c r="B586" s="178" t="s">
        <v>568</v>
      </c>
      <c r="C586" s="178" t="s">
        <v>123</v>
      </c>
      <c r="D586" s="178" t="s">
        <v>32</v>
      </c>
      <c r="E586" s="178" t="s">
        <v>115</v>
      </c>
      <c r="F586" s="178">
        <v>608</v>
      </c>
      <c r="G586" s="178">
        <v>220</v>
      </c>
      <c r="H586" s="178">
        <v>18</v>
      </c>
      <c r="I586" s="178">
        <v>1</v>
      </c>
      <c r="J586" s="215">
        <v>0.1338</v>
      </c>
    </row>
    <row r="587" spans="1:10">
      <c r="A587" s="176">
        <v>580</v>
      </c>
      <c r="B587" s="178" t="s">
        <v>568</v>
      </c>
      <c r="C587" s="178" t="s">
        <v>124</v>
      </c>
      <c r="D587" s="178" t="s">
        <v>32</v>
      </c>
      <c r="E587" s="178" t="s">
        <v>115</v>
      </c>
      <c r="F587" s="178">
        <v>250</v>
      </c>
      <c r="G587" s="178">
        <v>220</v>
      </c>
      <c r="H587" s="178">
        <v>18</v>
      </c>
      <c r="I587" s="178">
        <v>1</v>
      </c>
      <c r="J587" s="215">
        <v>0.055</v>
      </c>
    </row>
    <row r="588" spans="1:10">
      <c r="A588" s="176">
        <v>581</v>
      </c>
      <c r="B588" s="178" t="s">
        <v>568</v>
      </c>
      <c r="C588" s="178" t="s">
        <v>126</v>
      </c>
      <c r="D588" s="178" t="s">
        <v>32</v>
      </c>
      <c r="E588" s="178" t="s">
        <v>115</v>
      </c>
      <c r="F588" s="178">
        <v>250</v>
      </c>
      <c r="G588" s="178">
        <v>220</v>
      </c>
      <c r="H588" s="178">
        <v>18</v>
      </c>
      <c r="I588" s="178">
        <v>1</v>
      </c>
      <c r="J588" s="215">
        <v>0.055</v>
      </c>
    </row>
    <row r="589" spans="1:10">
      <c r="A589" s="176">
        <v>582</v>
      </c>
      <c r="B589" s="178" t="s">
        <v>568</v>
      </c>
      <c r="C589" s="178" t="s">
        <v>127</v>
      </c>
      <c r="D589" s="178" t="s">
        <v>32</v>
      </c>
      <c r="E589" s="178" t="s">
        <v>115</v>
      </c>
      <c r="F589" s="178">
        <v>618</v>
      </c>
      <c r="G589" s="178">
        <v>224</v>
      </c>
      <c r="H589" s="178">
        <v>9</v>
      </c>
      <c r="I589" s="178">
        <v>1</v>
      </c>
      <c r="J589" s="215">
        <v>0.1384</v>
      </c>
    </row>
    <row r="590" spans="1:10">
      <c r="A590" s="176">
        <v>583</v>
      </c>
      <c r="B590" s="178" t="s">
        <v>568</v>
      </c>
      <c r="C590" s="178" t="s">
        <v>114</v>
      </c>
      <c r="D590" s="178" t="s">
        <v>32</v>
      </c>
      <c r="E590" s="178" t="s">
        <v>115</v>
      </c>
      <c r="F590" s="178">
        <v>274</v>
      </c>
      <c r="G590" s="178">
        <v>680</v>
      </c>
      <c r="H590" s="178">
        <v>9</v>
      </c>
      <c r="I590" s="178">
        <v>1</v>
      </c>
      <c r="J590" s="215">
        <v>0.1863</v>
      </c>
    </row>
    <row r="591" spans="1:10">
      <c r="A591" s="176">
        <v>584</v>
      </c>
      <c r="B591" s="178" t="s">
        <v>568</v>
      </c>
      <c r="C591" s="178" t="s">
        <v>221</v>
      </c>
      <c r="D591" s="178" t="s">
        <v>32</v>
      </c>
      <c r="E591" s="178" t="s">
        <v>115</v>
      </c>
      <c r="F591" s="178">
        <v>264</v>
      </c>
      <c r="G591" s="178">
        <v>330</v>
      </c>
      <c r="H591" s="178">
        <v>18</v>
      </c>
      <c r="I591" s="178">
        <v>1</v>
      </c>
      <c r="J591" s="215">
        <v>0.0871</v>
      </c>
    </row>
    <row r="592" spans="1:10">
      <c r="A592" s="176">
        <v>585</v>
      </c>
      <c r="B592" s="178" t="s">
        <v>568</v>
      </c>
      <c r="C592" s="178" t="s">
        <v>119</v>
      </c>
      <c r="D592" s="178" t="s">
        <v>32</v>
      </c>
      <c r="E592" s="178" t="s">
        <v>111</v>
      </c>
      <c r="F592" s="178">
        <v>693</v>
      </c>
      <c r="G592" s="178">
        <v>277</v>
      </c>
      <c r="H592" s="178">
        <v>18</v>
      </c>
      <c r="I592" s="178">
        <v>1</v>
      </c>
      <c r="J592" s="215">
        <v>0.192</v>
      </c>
    </row>
    <row r="593" spans="1:10">
      <c r="A593" s="176">
        <v>586</v>
      </c>
      <c r="B593" s="178" t="s">
        <v>568</v>
      </c>
      <c r="C593" s="178" t="s">
        <v>121</v>
      </c>
      <c r="D593" s="178" t="s">
        <v>32</v>
      </c>
      <c r="E593" s="178" t="s">
        <v>115</v>
      </c>
      <c r="F593" s="178">
        <v>625</v>
      </c>
      <c r="G593" s="178">
        <v>220</v>
      </c>
      <c r="H593" s="178">
        <v>18</v>
      </c>
      <c r="I593" s="178">
        <v>1</v>
      </c>
      <c r="J593" s="215">
        <v>0.1375</v>
      </c>
    </row>
    <row r="594" spans="1:10">
      <c r="A594" s="176">
        <v>587</v>
      </c>
      <c r="B594" s="178" t="s">
        <v>568</v>
      </c>
      <c r="C594" s="178" t="s">
        <v>123</v>
      </c>
      <c r="D594" s="178" t="s">
        <v>32</v>
      </c>
      <c r="E594" s="178" t="s">
        <v>115</v>
      </c>
      <c r="F594" s="178">
        <v>625</v>
      </c>
      <c r="G594" s="178">
        <v>220</v>
      </c>
      <c r="H594" s="178">
        <v>18</v>
      </c>
      <c r="I594" s="178">
        <v>1</v>
      </c>
      <c r="J594" s="215">
        <v>0.1375</v>
      </c>
    </row>
    <row r="595" spans="1:10">
      <c r="A595" s="176">
        <v>588</v>
      </c>
      <c r="B595" s="178" t="s">
        <v>568</v>
      </c>
      <c r="C595" s="178" t="s">
        <v>124</v>
      </c>
      <c r="D595" s="178" t="s">
        <v>32</v>
      </c>
      <c r="E595" s="178" t="s">
        <v>115</v>
      </c>
      <c r="F595" s="178">
        <v>250</v>
      </c>
      <c r="G595" s="178">
        <v>220</v>
      </c>
      <c r="H595" s="178">
        <v>18</v>
      </c>
      <c r="I595" s="178">
        <v>1</v>
      </c>
      <c r="J595" s="215">
        <v>0.055</v>
      </c>
    </row>
    <row r="596" spans="1:10">
      <c r="A596" s="176">
        <v>589</v>
      </c>
      <c r="B596" s="178" t="s">
        <v>568</v>
      </c>
      <c r="C596" s="178" t="s">
        <v>126</v>
      </c>
      <c r="D596" s="178" t="s">
        <v>32</v>
      </c>
      <c r="E596" s="178" t="s">
        <v>115</v>
      </c>
      <c r="F596" s="178">
        <v>250</v>
      </c>
      <c r="G596" s="178">
        <v>220</v>
      </c>
      <c r="H596" s="178">
        <v>18</v>
      </c>
      <c r="I596" s="178">
        <v>1</v>
      </c>
      <c r="J596" s="215">
        <v>0.055</v>
      </c>
    </row>
    <row r="597" spans="1:10">
      <c r="A597" s="176">
        <v>590</v>
      </c>
      <c r="B597" s="178" t="s">
        <v>568</v>
      </c>
      <c r="C597" s="178" t="s">
        <v>127</v>
      </c>
      <c r="D597" s="178" t="s">
        <v>32</v>
      </c>
      <c r="E597" s="178" t="s">
        <v>115</v>
      </c>
      <c r="F597" s="178">
        <v>635</v>
      </c>
      <c r="G597" s="178">
        <v>224</v>
      </c>
      <c r="H597" s="178">
        <v>9</v>
      </c>
      <c r="I597" s="178">
        <v>1</v>
      </c>
      <c r="J597" s="215">
        <v>0.1422</v>
      </c>
    </row>
    <row r="598" spans="1:10">
      <c r="A598" s="176">
        <v>591</v>
      </c>
      <c r="B598" s="178" t="s">
        <v>568</v>
      </c>
      <c r="C598" s="178" t="s">
        <v>114</v>
      </c>
      <c r="D598" s="178" t="s">
        <v>32</v>
      </c>
      <c r="E598" s="178" t="s">
        <v>115</v>
      </c>
      <c r="F598" s="178">
        <v>274</v>
      </c>
      <c r="G598" s="178">
        <v>697</v>
      </c>
      <c r="H598" s="178">
        <v>9</v>
      </c>
      <c r="I598" s="178">
        <v>1</v>
      </c>
      <c r="J598" s="215">
        <v>0.191</v>
      </c>
    </row>
    <row r="599" spans="1:10">
      <c r="A599" s="176">
        <v>592</v>
      </c>
      <c r="B599" s="178" t="s">
        <v>568</v>
      </c>
      <c r="C599" s="178" t="s">
        <v>223</v>
      </c>
      <c r="D599" s="178" t="s">
        <v>32</v>
      </c>
      <c r="E599" s="178" t="s">
        <v>111</v>
      </c>
      <c r="F599" s="178">
        <v>300</v>
      </c>
      <c r="G599" s="178">
        <v>350</v>
      </c>
      <c r="H599" s="178">
        <v>18</v>
      </c>
      <c r="I599" s="178">
        <v>1</v>
      </c>
      <c r="J599" s="215">
        <v>0.105</v>
      </c>
    </row>
    <row r="600" spans="1:10">
      <c r="A600" s="176">
        <v>593</v>
      </c>
      <c r="B600" s="178" t="s">
        <v>568</v>
      </c>
      <c r="C600" s="178" t="s">
        <v>142</v>
      </c>
      <c r="D600" s="178" t="s">
        <v>32</v>
      </c>
      <c r="E600" s="178" t="s">
        <v>111</v>
      </c>
      <c r="F600" s="178">
        <v>1411</v>
      </c>
      <c r="G600" s="178">
        <v>350</v>
      </c>
      <c r="H600" s="178">
        <v>18</v>
      </c>
      <c r="I600" s="178">
        <v>1</v>
      </c>
      <c r="J600" s="215">
        <v>0.4938</v>
      </c>
    </row>
    <row r="601" ht="14.25" spans="1:10">
      <c r="A601" s="182" t="s">
        <v>98</v>
      </c>
      <c r="B601" s="184"/>
      <c r="C601" s="184"/>
      <c r="D601" s="184"/>
      <c r="E601" s="184"/>
      <c r="F601" s="184"/>
      <c r="G601" s="184"/>
      <c r="H601" s="184"/>
      <c r="I601" s="184">
        <f>SUM(I8:I600)</f>
        <v>593</v>
      </c>
      <c r="J601" s="185">
        <f>SUM(J8:J600)</f>
        <v>193.9589</v>
      </c>
    </row>
    <row r="602" ht="14.25"/>
    <row r="603" ht="20.25" spans="1:10">
      <c r="A603" s="51" t="s">
        <v>569</v>
      </c>
      <c r="B603" s="52"/>
      <c r="C603" s="53"/>
      <c r="D603" s="53"/>
      <c r="E603" s="53"/>
      <c r="F603" s="53"/>
      <c r="G603" s="53"/>
      <c r="H603" s="53"/>
      <c r="I603" s="53"/>
      <c r="J603" s="56"/>
    </row>
    <row r="604" spans="1:10">
      <c r="A604" s="54" t="s">
        <v>1</v>
      </c>
      <c r="B604" s="4" t="s">
        <v>2</v>
      </c>
      <c r="C604" s="5"/>
      <c r="D604" s="55" t="s">
        <v>5</v>
      </c>
      <c r="E604" s="4" t="s">
        <v>6</v>
      </c>
      <c r="F604" s="5"/>
      <c r="G604" s="55" t="s">
        <v>11</v>
      </c>
      <c r="H604" s="4" t="s">
        <v>4</v>
      </c>
      <c r="I604" s="21"/>
      <c r="J604" s="22"/>
    </row>
    <row r="605" spans="1:10">
      <c r="A605" s="3" t="s">
        <v>17</v>
      </c>
      <c r="B605" s="44" t="s">
        <v>18</v>
      </c>
      <c r="C605" s="6" t="s">
        <v>19</v>
      </c>
      <c r="D605" s="6" t="s">
        <v>20</v>
      </c>
      <c r="E605" s="45" t="s">
        <v>21</v>
      </c>
      <c r="F605" s="6" t="s">
        <v>22</v>
      </c>
      <c r="G605" s="6"/>
      <c r="H605" s="6"/>
      <c r="I605" s="6" t="s">
        <v>24</v>
      </c>
      <c r="J605" s="57" t="s">
        <v>550</v>
      </c>
    </row>
    <row r="606" ht="14.25" spans="1:10">
      <c r="A606" s="34"/>
      <c r="B606" s="46"/>
      <c r="C606" s="35"/>
      <c r="D606" s="35"/>
      <c r="E606" s="47"/>
      <c r="F606" s="35" t="s">
        <v>27</v>
      </c>
      <c r="G606" s="35" t="s">
        <v>28</v>
      </c>
      <c r="H606" s="35" t="s">
        <v>29</v>
      </c>
      <c r="I606" s="35"/>
      <c r="J606" s="38"/>
    </row>
    <row r="607" spans="1:10">
      <c r="A607" s="39"/>
      <c r="B607" s="16"/>
      <c r="C607" s="16"/>
      <c r="D607" s="16"/>
      <c r="E607" s="16"/>
      <c r="F607" s="16"/>
      <c r="G607" s="16"/>
      <c r="H607" s="16"/>
      <c r="I607" s="16"/>
      <c r="J607" s="25"/>
    </row>
    <row r="608" spans="1:10">
      <c r="A608" s="39"/>
      <c r="B608" s="16"/>
      <c r="C608" s="16"/>
      <c r="D608" s="16"/>
      <c r="E608" s="16"/>
      <c r="F608" s="16"/>
      <c r="G608" s="16"/>
      <c r="H608" s="16"/>
      <c r="I608" s="16"/>
      <c r="J608" s="25"/>
    </row>
  </sheetData>
  <mergeCells count="32">
    <mergeCell ref="A1:J1"/>
    <mergeCell ref="B2:C2"/>
    <mergeCell ref="E2:F2"/>
    <mergeCell ref="H2:J2"/>
    <mergeCell ref="B3:C3"/>
    <mergeCell ref="E3:F3"/>
    <mergeCell ref="H3:J3"/>
    <mergeCell ref="B4:C4"/>
    <mergeCell ref="E4:F4"/>
    <mergeCell ref="H4:J4"/>
    <mergeCell ref="A5:J5"/>
    <mergeCell ref="F6:H6"/>
    <mergeCell ref="A601:H601"/>
    <mergeCell ref="A603:J603"/>
    <mergeCell ref="B604:C604"/>
    <mergeCell ref="E604:F604"/>
    <mergeCell ref="H604:J604"/>
    <mergeCell ref="F605:H605"/>
    <mergeCell ref="A6:A7"/>
    <mergeCell ref="A605:A606"/>
    <mergeCell ref="B6:B7"/>
    <mergeCell ref="B605:B606"/>
    <mergeCell ref="C6:C7"/>
    <mergeCell ref="C605:C606"/>
    <mergeCell ref="D6:D7"/>
    <mergeCell ref="D605:D606"/>
    <mergeCell ref="E6:E7"/>
    <mergeCell ref="E605:E606"/>
    <mergeCell ref="I6:I7"/>
    <mergeCell ref="I605:I606"/>
    <mergeCell ref="J6:J7"/>
    <mergeCell ref="J605:J606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/>
  </sheetPr>
  <dimension ref="A1:J629"/>
  <sheetViews>
    <sheetView zoomScale="110" zoomScaleNormal="110" zoomScaleSheetLayoutView="110" workbookViewId="0">
      <selection activeCell="D3" sqref="D3"/>
    </sheetView>
  </sheetViews>
  <sheetFormatPr defaultColWidth="9" defaultRowHeight="13.5"/>
  <cols>
    <col min="1" max="1" width="4.63333333333333" style="89" customWidth="1"/>
    <col min="2" max="3" width="15.6333333333333" style="89" customWidth="1"/>
    <col min="4" max="4" width="7.63333333333333" style="89" customWidth="1"/>
    <col min="5" max="5" width="15.6333333333333" style="89" customWidth="1"/>
    <col min="6" max="6" width="5.63333333333333" style="89" customWidth="1"/>
    <col min="7" max="7" width="7.63333333333333" style="89" customWidth="1"/>
    <col min="8" max="8" width="5.63333333333333" style="89" customWidth="1"/>
    <col min="9" max="9" width="4.63333333333333" style="89" customWidth="1"/>
    <col min="10" max="10" width="10.6333333333333" style="89" customWidth="1"/>
    <col min="11" max="16384" width="9" style="89" customWidth="1"/>
  </cols>
  <sheetData>
    <row r="1" ht="35.15" customHeight="1" spans="1:10">
      <c r="A1" s="26" t="s">
        <v>104</v>
      </c>
      <c r="B1" s="27"/>
      <c r="C1" s="27"/>
      <c r="D1" s="27"/>
      <c r="E1" s="27"/>
      <c r="F1" s="27"/>
      <c r="G1" s="27"/>
      <c r="H1" s="27"/>
      <c r="I1" s="27"/>
      <c r="J1" s="29"/>
    </row>
    <row r="2" spans="1:10">
      <c r="A2" s="58" t="s">
        <v>1</v>
      </c>
      <c r="B2" s="252" t="s">
        <v>2</v>
      </c>
      <c r="C2" s="90"/>
      <c r="D2" s="61" t="s">
        <v>3</v>
      </c>
      <c r="E2" s="4" t="s">
        <v>4</v>
      </c>
      <c r="F2" s="5"/>
      <c r="G2" s="61" t="s">
        <v>5</v>
      </c>
      <c r="H2" s="4" t="s">
        <v>6</v>
      </c>
      <c r="I2" s="21"/>
      <c r="J2" s="22"/>
    </row>
    <row r="3" spans="1:10">
      <c r="A3" s="91" t="s">
        <v>7</v>
      </c>
      <c r="B3" s="92" t="s">
        <v>8</v>
      </c>
      <c r="C3" s="92"/>
      <c r="D3" s="93" t="s">
        <v>9</v>
      </c>
      <c r="E3" s="94" t="s">
        <v>10</v>
      </c>
      <c r="F3" s="95"/>
      <c r="G3" s="93" t="s">
        <v>11</v>
      </c>
      <c r="H3" s="94" t="s">
        <v>4</v>
      </c>
      <c r="I3" s="102"/>
      <c r="J3" s="103"/>
    </row>
    <row r="4" ht="14.25" spans="1:10">
      <c r="A4" s="96" t="s">
        <v>12</v>
      </c>
      <c r="B4" s="97" t="s">
        <v>13</v>
      </c>
      <c r="C4" s="97"/>
      <c r="D4" s="98" t="s">
        <v>14</v>
      </c>
      <c r="E4" s="99" t="s">
        <v>4</v>
      </c>
      <c r="F4" s="100"/>
      <c r="G4" s="98" t="s">
        <v>15</v>
      </c>
      <c r="H4" s="99" t="s">
        <v>4</v>
      </c>
      <c r="I4" s="104"/>
      <c r="J4" s="105"/>
    </row>
    <row r="5" spans="1:10">
      <c r="A5" s="63" t="s">
        <v>17</v>
      </c>
      <c r="B5" s="64" t="s">
        <v>18</v>
      </c>
      <c r="C5" s="64" t="s">
        <v>105</v>
      </c>
      <c r="D5" s="64" t="s">
        <v>45</v>
      </c>
      <c r="E5" s="64" t="s">
        <v>21</v>
      </c>
      <c r="F5" s="206" t="s">
        <v>46</v>
      </c>
      <c r="G5" s="207"/>
      <c r="H5" s="208"/>
      <c r="I5" s="64" t="s">
        <v>24</v>
      </c>
      <c r="J5" s="50" t="s">
        <v>550</v>
      </c>
    </row>
    <row r="6" ht="14.25" spans="1:10">
      <c r="A6" s="63"/>
      <c r="B6" s="64"/>
      <c r="C6" s="64"/>
      <c r="D6" s="64"/>
      <c r="E6" s="64"/>
      <c r="F6" s="49"/>
      <c r="G6" s="209"/>
      <c r="H6" s="210"/>
      <c r="I6" s="64"/>
      <c r="J6" s="50"/>
    </row>
    <row r="7" spans="1:10">
      <c r="A7" s="171" t="s">
        <v>108</v>
      </c>
      <c r="B7" s="211" t="s">
        <v>109</v>
      </c>
      <c r="C7" s="173" t="s">
        <v>110</v>
      </c>
      <c r="D7" s="173" t="s">
        <v>32</v>
      </c>
      <c r="E7" s="173" t="s">
        <v>111</v>
      </c>
      <c r="F7" s="173" t="s">
        <v>112</v>
      </c>
      <c r="G7" s="173"/>
      <c r="H7" s="173"/>
      <c r="I7" s="173">
        <v>1</v>
      </c>
      <c r="J7" s="214">
        <v>0.363</v>
      </c>
    </row>
    <row r="8" spans="1:10">
      <c r="A8" s="176"/>
      <c r="B8" s="178"/>
      <c r="C8" s="178" t="s">
        <v>110</v>
      </c>
      <c r="D8" s="178" t="s">
        <v>32</v>
      </c>
      <c r="E8" s="178" t="s">
        <v>111</v>
      </c>
      <c r="F8" s="178" t="s">
        <v>113</v>
      </c>
      <c r="G8" s="178"/>
      <c r="H8" s="178"/>
      <c r="I8" s="178">
        <v>1</v>
      </c>
      <c r="J8" s="215">
        <v>0.1512</v>
      </c>
    </row>
    <row r="9" spans="1:10">
      <c r="A9" s="176"/>
      <c r="B9" s="178"/>
      <c r="C9" s="178" t="s">
        <v>114</v>
      </c>
      <c r="D9" s="178" t="s">
        <v>32</v>
      </c>
      <c r="E9" s="178" t="s">
        <v>115</v>
      </c>
      <c r="F9" s="178" t="s">
        <v>116</v>
      </c>
      <c r="G9" s="178"/>
      <c r="H9" s="178"/>
      <c r="I9" s="178">
        <v>1</v>
      </c>
      <c r="J9" s="215">
        <v>0.1155</v>
      </c>
    </row>
    <row r="10" spans="1:10">
      <c r="A10" s="176"/>
      <c r="B10" s="178"/>
      <c r="C10" s="178" t="s">
        <v>117</v>
      </c>
      <c r="D10" s="178" t="s">
        <v>32</v>
      </c>
      <c r="E10" s="178" t="s">
        <v>115</v>
      </c>
      <c r="F10" s="178" t="s">
        <v>118</v>
      </c>
      <c r="G10" s="178"/>
      <c r="H10" s="178"/>
      <c r="I10" s="178">
        <v>2</v>
      </c>
      <c r="J10" s="215">
        <v>0.4765</v>
      </c>
    </row>
    <row r="11" spans="1:10">
      <c r="A11" s="176"/>
      <c r="B11" s="178"/>
      <c r="C11" s="178" t="s">
        <v>119</v>
      </c>
      <c r="D11" s="178" t="s">
        <v>32</v>
      </c>
      <c r="E11" s="178" t="s">
        <v>111</v>
      </c>
      <c r="F11" s="178" t="s">
        <v>120</v>
      </c>
      <c r="G11" s="178"/>
      <c r="H11" s="178"/>
      <c r="I11" s="178">
        <v>1</v>
      </c>
      <c r="J11" s="215">
        <v>0.1798</v>
      </c>
    </row>
    <row r="12" spans="1:10">
      <c r="A12" s="176"/>
      <c r="B12" s="178"/>
      <c r="C12" s="178" t="s">
        <v>121</v>
      </c>
      <c r="D12" s="178" t="s">
        <v>32</v>
      </c>
      <c r="E12" s="178" t="s">
        <v>115</v>
      </c>
      <c r="F12" s="178" t="s">
        <v>122</v>
      </c>
      <c r="G12" s="178"/>
      <c r="H12" s="178"/>
      <c r="I12" s="178">
        <v>1</v>
      </c>
      <c r="J12" s="215">
        <v>0.099</v>
      </c>
    </row>
    <row r="13" spans="1:10">
      <c r="A13" s="176"/>
      <c r="B13" s="178"/>
      <c r="C13" s="178" t="s">
        <v>123</v>
      </c>
      <c r="D13" s="178" t="s">
        <v>32</v>
      </c>
      <c r="E13" s="178" t="s">
        <v>115</v>
      </c>
      <c r="F13" s="178" t="s">
        <v>122</v>
      </c>
      <c r="G13" s="178"/>
      <c r="H13" s="178"/>
      <c r="I13" s="178">
        <v>1</v>
      </c>
      <c r="J13" s="215">
        <v>0.099</v>
      </c>
    </row>
    <row r="14" spans="1:10">
      <c r="A14" s="176"/>
      <c r="B14" s="178"/>
      <c r="C14" s="178" t="s">
        <v>124</v>
      </c>
      <c r="D14" s="178" t="s">
        <v>32</v>
      </c>
      <c r="E14" s="178" t="s">
        <v>115</v>
      </c>
      <c r="F14" s="178" t="s">
        <v>125</v>
      </c>
      <c r="G14" s="178"/>
      <c r="H14" s="178"/>
      <c r="I14" s="178">
        <v>1</v>
      </c>
      <c r="J14" s="215">
        <v>0.0375</v>
      </c>
    </row>
    <row r="15" spans="1:10">
      <c r="A15" s="176"/>
      <c r="B15" s="178"/>
      <c r="C15" s="178" t="s">
        <v>126</v>
      </c>
      <c r="D15" s="178" t="s">
        <v>32</v>
      </c>
      <c r="E15" s="178" t="s">
        <v>115</v>
      </c>
      <c r="F15" s="178" t="s">
        <v>125</v>
      </c>
      <c r="G15" s="178"/>
      <c r="H15" s="178"/>
      <c r="I15" s="178">
        <v>1</v>
      </c>
      <c r="J15" s="215">
        <v>0.0375</v>
      </c>
    </row>
    <row r="16" spans="1:10">
      <c r="A16" s="176"/>
      <c r="B16" s="178"/>
      <c r="C16" s="178" t="s">
        <v>127</v>
      </c>
      <c r="D16" s="178" t="s">
        <v>32</v>
      </c>
      <c r="E16" s="178" t="s">
        <v>115</v>
      </c>
      <c r="F16" s="178" t="s">
        <v>128</v>
      </c>
      <c r="G16" s="178"/>
      <c r="H16" s="178"/>
      <c r="I16" s="178">
        <v>1</v>
      </c>
      <c r="J16" s="215">
        <v>0.1501</v>
      </c>
    </row>
    <row r="17" spans="1:10">
      <c r="A17" s="176"/>
      <c r="B17" s="178"/>
      <c r="C17" s="178" t="s">
        <v>129</v>
      </c>
      <c r="D17" s="178" t="s">
        <v>32</v>
      </c>
      <c r="E17" s="178" t="s">
        <v>115</v>
      </c>
      <c r="F17" s="178" t="s">
        <v>130</v>
      </c>
      <c r="G17" s="178"/>
      <c r="H17" s="178"/>
      <c r="I17" s="178">
        <v>1</v>
      </c>
      <c r="J17" s="215">
        <v>0.037</v>
      </c>
    </row>
    <row r="18" spans="1:10">
      <c r="A18" s="176"/>
      <c r="B18" s="178"/>
      <c r="C18" s="178" t="s">
        <v>131</v>
      </c>
      <c r="D18" s="178" t="s">
        <v>32</v>
      </c>
      <c r="E18" s="178" t="s">
        <v>115</v>
      </c>
      <c r="F18" s="178" t="s">
        <v>132</v>
      </c>
      <c r="G18" s="178"/>
      <c r="H18" s="178"/>
      <c r="I18" s="178">
        <v>1</v>
      </c>
      <c r="J18" s="215">
        <v>0.037</v>
      </c>
    </row>
    <row r="19" spans="1:10">
      <c r="A19" s="176"/>
      <c r="B19" s="178"/>
      <c r="C19" s="178" t="s">
        <v>114</v>
      </c>
      <c r="D19" s="178" t="s">
        <v>32</v>
      </c>
      <c r="E19" s="178" t="s">
        <v>115</v>
      </c>
      <c r="F19" s="178" t="s">
        <v>133</v>
      </c>
      <c r="G19" s="178"/>
      <c r="H19" s="178"/>
      <c r="I19" s="178">
        <v>1</v>
      </c>
      <c r="J19" s="215">
        <v>0.1932</v>
      </c>
    </row>
    <row r="20" spans="1:10">
      <c r="A20" s="176"/>
      <c r="B20" s="178"/>
      <c r="C20" s="178" t="s">
        <v>134</v>
      </c>
      <c r="D20" s="178" t="s">
        <v>32</v>
      </c>
      <c r="E20" s="178" t="s">
        <v>115</v>
      </c>
      <c r="F20" s="178" t="s">
        <v>135</v>
      </c>
      <c r="G20" s="178"/>
      <c r="H20" s="178"/>
      <c r="I20" s="178">
        <v>1</v>
      </c>
      <c r="J20" s="215">
        <v>0.1426</v>
      </c>
    </row>
    <row r="21" spans="1:10">
      <c r="A21" s="176"/>
      <c r="B21" s="178"/>
      <c r="C21" s="178" t="s">
        <v>129</v>
      </c>
      <c r="D21" s="178" t="s">
        <v>32</v>
      </c>
      <c r="E21" s="178" t="s">
        <v>115</v>
      </c>
      <c r="F21" s="178" t="s">
        <v>136</v>
      </c>
      <c r="G21" s="178"/>
      <c r="H21" s="178"/>
      <c r="I21" s="178">
        <v>1</v>
      </c>
      <c r="J21" s="215">
        <v>0.2653</v>
      </c>
    </row>
    <row r="22" spans="1:10">
      <c r="A22" s="176"/>
      <c r="B22" s="178"/>
      <c r="C22" s="178" t="s">
        <v>137</v>
      </c>
      <c r="D22" s="178" t="s">
        <v>32</v>
      </c>
      <c r="E22" s="178" t="s">
        <v>115</v>
      </c>
      <c r="F22" s="178" t="s">
        <v>138</v>
      </c>
      <c r="G22" s="178"/>
      <c r="H22" s="178"/>
      <c r="I22" s="178">
        <v>1</v>
      </c>
      <c r="J22" s="215">
        <v>1.2659</v>
      </c>
    </row>
    <row r="23" spans="1:10">
      <c r="A23" s="176"/>
      <c r="B23" s="178"/>
      <c r="C23" s="178" t="s">
        <v>139</v>
      </c>
      <c r="D23" s="178" t="s">
        <v>32</v>
      </c>
      <c r="E23" s="178" t="s">
        <v>111</v>
      </c>
      <c r="F23" s="178" t="s">
        <v>140</v>
      </c>
      <c r="G23" s="178"/>
      <c r="H23" s="178"/>
      <c r="I23" s="178">
        <v>1</v>
      </c>
      <c r="J23" s="215">
        <v>0.1085</v>
      </c>
    </row>
    <row r="24" spans="1:10">
      <c r="A24" s="176"/>
      <c r="B24" s="178"/>
      <c r="C24" s="178" t="s">
        <v>114</v>
      </c>
      <c r="D24" s="178" t="s">
        <v>32</v>
      </c>
      <c r="E24" s="178" t="s">
        <v>115</v>
      </c>
      <c r="F24" s="178" t="s">
        <v>141</v>
      </c>
      <c r="G24" s="178"/>
      <c r="H24" s="178"/>
      <c r="I24" s="178">
        <v>1</v>
      </c>
      <c r="J24" s="215">
        <v>0.039</v>
      </c>
    </row>
    <row r="25" spans="1:10">
      <c r="A25" s="176"/>
      <c r="B25" s="178"/>
      <c r="C25" s="178" t="s">
        <v>142</v>
      </c>
      <c r="D25" s="178" t="s">
        <v>32</v>
      </c>
      <c r="E25" s="178" t="s">
        <v>115</v>
      </c>
      <c r="F25" s="178" t="s">
        <v>143</v>
      </c>
      <c r="G25" s="178"/>
      <c r="H25" s="178"/>
      <c r="I25" s="178">
        <v>1</v>
      </c>
      <c r="J25" s="215">
        <v>0.1386</v>
      </c>
    </row>
    <row r="26" spans="1:10">
      <c r="A26" s="176"/>
      <c r="B26" s="178"/>
      <c r="C26" s="178" t="s">
        <v>134</v>
      </c>
      <c r="D26" s="178" t="s">
        <v>32</v>
      </c>
      <c r="E26" s="178" t="s">
        <v>115</v>
      </c>
      <c r="F26" s="178" t="s">
        <v>144</v>
      </c>
      <c r="G26" s="178"/>
      <c r="H26" s="178"/>
      <c r="I26" s="178">
        <v>1</v>
      </c>
      <c r="J26" s="215">
        <v>0.0825</v>
      </c>
    </row>
    <row r="27" spans="1:10">
      <c r="A27" s="176"/>
      <c r="B27" s="178"/>
      <c r="C27" s="178" t="s">
        <v>145</v>
      </c>
      <c r="D27" s="178" t="s">
        <v>32</v>
      </c>
      <c r="E27" s="178" t="s">
        <v>115</v>
      </c>
      <c r="F27" s="178" t="s">
        <v>130</v>
      </c>
      <c r="G27" s="178"/>
      <c r="H27" s="178"/>
      <c r="I27" s="178">
        <v>1</v>
      </c>
      <c r="J27" s="215">
        <v>0.037</v>
      </c>
    </row>
    <row r="28" spans="1:10">
      <c r="A28" s="176"/>
      <c r="B28" s="178"/>
      <c r="C28" s="178" t="s">
        <v>146</v>
      </c>
      <c r="D28" s="178" t="s">
        <v>32</v>
      </c>
      <c r="E28" s="178" t="s">
        <v>115</v>
      </c>
      <c r="F28" s="178" t="s">
        <v>147</v>
      </c>
      <c r="G28" s="178"/>
      <c r="H28" s="178"/>
      <c r="I28" s="178">
        <v>1</v>
      </c>
      <c r="J28" s="215">
        <v>0.0592</v>
      </c>
    </row>
    <row r="29" spans="1:10">
      <c r="A29" s="176"/>
      <c r="B29" s="178"/>
      <c r="C29" s="178" t="s">
        <v>31</v>
      </c>
      <c r="D29" s="178" t="s">
        <v>32</v>
      </c>
      <c r="E29" s="178" t="s">
        <v>111</v>
      </c>
      <c r="F29" s="178" t="s">
        <v>148</v>
      </c>
      <c r="G29" s="178"/>
      <c r="H29" s="178"/>
      <c r="I29" s="178">
        <v>1</v>
      </c>
      <c r="J29" s="215">
        <v>0.109</v>
      </c>
    </row>
    <row r="30" spans="1:10">
      <c r="A30" s="176"/>
      <c r="B30" s="178"/>
      <c r="C30" s="178" t="s">
        <v>35</v>
      </c>
      <c r="D30" s="178" t="s">
        <v>32</v>
      </c>
      <c r="E30" s="178" t="s">
        <v>111</v>
      </c>
      <c r="F30" s="178" t="s">
        <v>148</v>
      </c>
      <c r="G30" s="178"/>
      <c r="H30" s="178"/>
      <c r="I30" s="178">
        <v>1</v>
      </c>
      <c r="J30" s="215">
        <v>0.109</v>
      </c>
    </row>
    <row r="31" spans="1:10">
      <c r="A31" s="176"/>
      <c r="B31" s="178"/>
      <c r="C31" s="178" t="s">
        <v>114</v>
      </c>
      <c r="D31" s="178" t="s">
        <v>32</v>
      </c>
      <c r="E31" s="178" t="s">
        <v>115</v>
      </c>
      <c r="F31" s="178" t="s">
        <v>149</v>
      </c>
      <c r="G31" s="178"/>
      <c r="H31" s="178"/>
      <c r="I31" s="178">
        <v>1</v>
      </c>
      <c r="J31" s="215">
        <v>0.1317</v>
      </c>
    </row>
    <row r="32" spans="1:10">
      <c r="A32" s="176"/>
      <c r="B32" s="178"/>
      <c r="C32" s="178" t="s">
        <v>142</v>
      </c>
      <c r="D32" s="178" t="s">
        <v>32</v>
      </c>
      <c r="E32" s="178" t="s">
        <v>115</v>
      </c>
      <c r="F32" s="178" t="s">
        <v>150</v>
      </c>
      <c r="G32" s="178"/>
      <c r="H32" s="178"/>
      <c r="I32" s="178">
        <v>1</v>
      </c>
      <c r="J32" s="215">
        <v>0.0888</v>
      </c>
    </row>
    <row r="33" spans="1:10">
      <c r="A33" s="176"/>
      <c r="B33" s="178"/>
      <c r="C33" s="178" t="s">
        <v>47</v>
      </c>
      <c r="D33" s="178" t="s">
        <v>570</v>
      </c>
      <c r="E33" s="178" t="s">
        <v>48</v>
      </c>
      <c r="F33" s="178" t="s">
        <v>49</v>
      </c>
      <c r="G33" s="178"/>
      <c r="H33" s="178"/>
      <c r="I33" s="178">
        <v>82</v>
      </c>
      <c r="J33" s="180" t="s">
        <v>4</v>
      </c>
    </row>
    <row r="34" spans="1:10">
      <c r="A34" s="176"/>
      <c r="B34" s="178"/>
      <c r="C34" s="178" t="s">
        <v>50</v>
      </c>
      <c r="D34" s="178" t="s">
        <v>570</v>
      </c>
      <c r="E34" s="178" t="s">
        <v>51</v>
      </c>
      <c r="F34" s="178" t="s">
        <v>52</v>
      </c>
      <c r="G34" s="178"/>
      <c r="H34" s="178"/>
      <c r="I34" s="178">
        <v>2</v>
      </c>
      <c r="J34" s="180" t="s">
        <v>4</v>
      </c>
    </row>
    <row r="35" spans="1:10">
      <c r="A35" s="176"/>
      <c r="B35" s="178"/>
      <c r="C35" s="178" t="s">
        <v>53</v>
      </c>
      <c r="D35" s="178" t="s">
        <v>570</v>
      </c>
      <c r="E35" s="178" t="s">
        <v>48</v>
      </c>
      <c r="F35" s="178" t="s">
        <v>54</v>
      </c>
      <c r="G35" s="178"/>
      <c r="H35" s="178"/>
      <c r="I35" s="178">
        <v>1</v>
      </c>
      <c r="J35" s="180" t="s">
        <v>4</v>
      </c>
    </row>
    <row r="36" spans="1:10">
      <c r="A36" s="176"/>
      <c r="B36" s="178"/>
      <c r="C36" s="178" t="s">
        <v>151</v>
      </c>
      <c r="D36" s="178" t="s">
        <v>570</v>
      </c>
      <c r="E36" s="178" t="s">
        <v>56</v>
      </c>
      <c r="F36" s="178" t="s">
        <v>152</v>
      </c>
      <c r="G36" s="178"/>
      <c r="H36" s="178"/>
      <c r="I36" s="178">
        <v>3</v>
      </c>
      <c r="J36" s="180" t="s">
        <v>4</v>
      </c>
    </row>
    <row r="37" ht="14.25" spans="1:10">
      <c r="A37" s="212"/>
      <c r="B37" s="213"/>
      <c r="C37" s="213" t="s">
        <v>55</v>
      </c>
      <c r="D37" s="213" t="s">
        <v>570</v>
      </c>
      <c r="E37" s="213" t="s">
        <v>56</v>
      </c>
      <c r="F37" s="213" t="s">
        <v>57</v>
      </c>
      <c r="G37" s="213"/>
      <c r="H37" s="213"/>
      <c r="I37" s="213">
        <v>4</v>
      </c>
      <c r="J37" s="216" t="s">
        <v>4</v>
      </c>
    </row>
    <row r="39" spans="1:10">
      <c r="A39" s="63" t="s">
        <v>17</v>
      </c>
      <c r="B39" s="64" t="s">
        <v>18</v>
      </c>
      <c r="C39" s="64" t="s">
        <v>105</v>
      </c>
      <c r="D39" s="64" t="s">
        <v>45</v>
      </c>
      <c r="E39" s="64" t="s">
        <v>21</v>
      </c>
      <c r="F39" s="206" t="s">
        <v>46</v>
      </c>
      <c r="G39" s="207"/>
      <c r="H39" s="208"/>
      <c r="I39" s="64" t="s">
        <v>24</v>
      </c>
      <c r="J39" s="50" t="s">
        <v>550</v>
      </c>
    </row>
    <row r="40" ht="14.25" spans="1:10">
      <c r="A40" s="63"/>
      <c r="B40" s="64"/>
      <c r="C40" s="64"/>
      <c r="D40" s="64"/>
      <c r="E40" s="64"/>
      <c r="F40" s="49"/>
      <c r="G40" s="209"/>
      <c r="H40" s="210"/>
      <c r="I40" s="64"/>
      <c r="J40" s="50"/>
    </row>
    <row r="41" spans="1:10">
      <c r="A41" s="171" t="s">
        <v>154</v>
      </c>
      <c r="B41" s="211" t="s">
        <v>155</v>
      </c>
      <c r="C41" s="173" t="s">
        <v>110</v>
      </c>
      <c r="D41" s="173" t="s">
        <v>32</v>
      </c>
      <c r="E41" s="173" t="s">
        <v>115</v>
      </c>
      <c r="F41" s="173" t="s">
        <v>156</v>
      </c>
      <c r="G41" s="173"/>
      <c r="H41" s="173"/>
      <c r="I41" s="173">
        <v>1</v>
      </c>
      <c r="J41" s="214">
        <v>0.3406</v>
      </c>
    </row>
    <row r="42" spans="1:10">
      <c r="A42" s="176"/>
      <c r="B42" s="178"/>
      <c r="C42" s="178" t="s">
        <v>114</v>
      </c>
      <c r="D42" s="178" t="s">
        <v>32</v>
      </c>
      <c r="E42" s="178" t="s">
        <v>115</v>
      </c>
      <c r="F42" s="178" t="s">
        <v>157</v>
      </c>
      <c r="G42" s="178"/>
      <c r="H42" s="178"/>
      <c r="I42" s="178">
        <v>1</v>
      </c>
      <c r="J42" s="215">
        <v>0.3142</v>
      </c>
    </row>
    <row r="43" spans="1:10">
      <c r="A43" s="176"/>
      <c r="B43" s="178"/>
      <c r="C43" s="178" t="s">
        <v>117</v>
      </c>
      <c r="D43" s="178" t="s">
        <v>32</v>
      </c>
      <c r="E43" s="178" t="s">
        <v>115</v>
      </c>
      <c r="F43" s="178" t="s">
        <v>158</v>
      </c>
      <c r="G43" s="178"/>
      <c r="H43" s="178"/>
      <c r="I43" s="178">
        <v>2</v>
      </c>
      <c r="J43" s="215">
        <v>1.2962</v>
      </c>
    </row>
    <row r="44" spans="1:10">
      <c r="A44" s="176"/>
      <c r="B44" s="178"/>
      <c r="C44" s="178" t="s">
        <v>114</v>
      </c>
      <c r="D44" s="178" t="s">
        <v>32</v>
      </c>
      <c r="E44" s="178" t="s">
        <v>115</v>
      </c>
      <c r="F44" s="178" t="s">
        <v>159</v>
      </c>
      <c r="G44" s="178"/>
      <c r="H44" s="178"/>
      <c r="I44" s="178">
        <v>1</v>
      </c>
      <c r="J44" s="215">
        <v>0.1856</v>
      </c>
    </row>
    <row r="45" spans="1:10">
      <c r="A45" s="176"/>
      <c r="B45" s="178"/>
      <c r="C45" s="178" t="s">
        <v>129</v>
      </c>
      <c r="D45" s="178" t="s">
        <v>32</v>
      </c>
      <c r="E45" s="178" t="s">
        <v>115</v>
      </c>
      <c r="F45" s="178" t="s">
        <v>160</v>
      </c>
      <c r="G45" s="178"/>
      <c r="H45" s="178"/>
      <c r="I45" s="178">
        <v>3</v>
      </c>
      <c r="J45" s="215">
        <v>0.7537</v>
      </c>
    </row>
    <row r="46" spans="1:10">
      <c r="A46" s="176"/>
      <c r="B46" s="178"/>
      <c r="C46" s="178" t="s">
        <v>114</v>
      </c>
      <c r="D46" s="178" t="s">
        <v>32</v>
      </c>
      <c r="E46" s="178" t="s">
        <v>115</v>
      </c>
      <c r="F46" s="178" t="s">
        <v>161</v>
      </c>
      <c r="G46" s="178"/>
      <c r="H46" s="178"/>
      <c r="I46" s="178">
        <v>2</v>
      </c>
      <c r="J46" s="215">
        <v>0.2787</v>
      </c>
    </row>
    <row r="47" spans="1:10">
      <c r="A47" s="176"/>
      <c r="B47" s="178"/>
      <c r="C47" s="178" t="s">
        <v>129</v>
      </c>
      <c r="D47" s="178" t="s">
        <v>32</v>
      </c>
      <c r="E47" s="178" t="s">
        <v>115</v>
      </c>
      <c r="F47" s="178" t="s">
        <v>162</v>
      </c>
      <c r="G47" s="178"/>
      <c r="H47" s="178"/>
      <c r="I47" s="178">
        <v>1</v>
      </c>
      <c r="J47" s="215">
        <v>0.0991</v>
      </c>
    </row>
    <row r="48" spans="1:10">
      <c r="A48" s="176"/>
      <c r="B48" s="178"/>
      <c r="C48" s="178" t="s">
        <v>131</v>
      </c>
      <c r="D48" s="178" t="s">
        <v>32</v>
      </c>
      <c r="E48" s="178" t="s">
        <v>115</v>
      </c>
      <c r="F48" s="178" t="s">
        <v>163</v>
      </c>
      <c r="G48" s="178"/>
      <c r="H48" s="178"/>
      <c r="I48" s="178">
        <v>1</v>
      </c>
      <c r="J48" s="215">
        <v>0.0991</v>
      </c>
    </row>
    <row r="49" spans="1:10">
      <c r="A49" s="176"/>
      <c r="B49" s="178"/>
      <c r="C49" s="178" t="s">
        <v>114</v>
      </c>
      <c r="D49" s="178" t="s">
        <v>32</v>
      </c>
      <c r="E49" s="178" t="s">
        <v>115</v>
      </c>
      <c r="F49" s="178" t="s">
        <v>164</v>
      </c>
      <c r="G49" s="178"/>
      <c r="H49" s="178"/>
      <c r="I49" s="178">
        <v>1</v>
      </c>
      <c r="J49" s="215">
        <v>0.1934</v>
      </c>
    </row>
    <row r="50" spans="1:10">
      <c r="A50" s="176"/>
      <c r="B50" s="178"/>
      <c r="C50" s="178" t="s">
        <v>165</v>
      </c>
      <c r="D50" s="178" t="s">
        <v>32</v>
      </c>
      <c r="E50" s="178" t="s">
        <v>115</v>
      </c>
      <c r="F50" s="178" t="s">
        <v>166</v>
      </c>
      <c r="G50" s="178"/>
      <c r="H50" s="178"/>
      <c r="I50" s="178">
        <v>2</v>
      </c>
      <c r="J50" s="215">
        <v>0.5636</v>
      </c>
    </row>
    <row r="51" spans="1:10">
      <c r="A51" s="176"/>
      <c r="B51" s="178"/>
      <c r="C51" s="178" t="s">
        <v>129</v>
      </c>
      <c r="D51" s="178" t="s">
        <v>32</v>
      </c>
      <c r="E51" s="178" t="s">
        <v>115</v>
      </c>
      <c r="F51" s="178" t="s">
        <v>167</v>
      </c>
      <c r="G51" s="178"/>
      <c r="H51" s="178"/>
      <c r="I51" s="178">
        <v>2</v>
      </c>
      <c r="J51" s="215">
        <v>0.4317</v>
      </c>
    </row>
    <row r="52" spans="1:10">
      <c r="A52" s="176"/>
      <c r="B52" s="178"/>
      <c r="C52" s="178" t="s">
        <v>114</v>
      </c>
      <c r="D52" s="178" t="s">
        <v>32</v>
      </c>
      <c r="E52" s="178" t="s">
        <v>115</v>
      </c>
      <c r="F52" s="178" t="s">
        <v>168</v>
      </c>
      <c r="G52" s="178"/>
      <c r="H52" s="178"/>
      <c r="I52" s="178">
        <v>1</v>
      </c>
      <c r="J52" s="215">
        <v>0.4823</v>
      </c>
    </row>
    <row r="53" spans="1:10">
      <c r="A53" s="176"/>
      <c r="B53" s="178"/>
      <c r="C53" s="178" t="s">
        <v>129</v>
      </c>
      <c r="D53" s="178" t="s">
        <v>32</v>
      </c>
      <c r="E53" s="178" t="s">
        <v>115</v>
      </c>
      <c r="F53" s="178" t="s">
        <v>169</v>
      </c>
      <c r="G53" s="178"/>
      <c r="H53" s="178"/>
      <c r="I53" s="178">
        <v>1</v>
      </c>
      <c r="J53" s="215">
        <v>0.2542</v>
      </c>
    </row>
    <row r="54" spans="1:10">
      <c r="A54" s="176"/>
      <c r="B54" s="178"/>
      <c r="C54" s="178" t="s">
        <v>114</v>
      </c>
      <c r="D54" s="178" t="s">
        <v>32</v>
      </c>
      <c r="E54" s="178" t="s">
        <v>115</v>
      </c>
      <c r="F54" s="178" t="s">
        <v>170</v>
      </c>
      <c r="G54" s="178"/>
      <c r="H54" s="178"/>
      <c r="I54" s="178">
        <v>1</v>
      </c>
      <c r="J54" s="215">
        <v>0.1956</v>
      </c>
    </row>
    <row r="55" spans="1:10">
      <c r="A55" s="176"/>
      <c r="B55" s="178"/>
      <c r="C55" s="178" t="s">
        <v>114</v>
      </c>
      <c r="D55" s="178" t="s">
        <v>32</v>
      </c>
      <c r="E55" s="178" t="s">
        <v>115</v>
      </c>
      <c r="F55" s="178" t="s">
        <v>171</v>
      </c>
      <c r="G55" s="178"/>
      <c r="H55" s="178"/>
      <c r="I55" s="178">
        <v>1</v>
      </c>
      <c r="J55" s="215">
        <v>0.0908</v>
      </c>
    </row>
    <row r="56" spans="1:10">
      <c r="A56" s="176"/>
      <c r="B56" s="178"/>
      <c r="C56" s="178" t="s">
        <v>129</v>
      </c>
      <c r="D56" s="178" t="s">
        <v>32</v>
      </c>
      <c r="E56" s="178" t="s">
        <v>115</v>
      </c>
      <c r="F56" s="178" t="s">
        <v>172</v>
      </c>
      <c r="G56" s="178"/>
      <c r="H56" s="178"/>
      <c r="I56" s="178">
        <v>3</v>
      </c>
      <c r="J56" s="215">
        <v>0.3637</v>
      </c>
    </row>
    <row r="57" spans="1:10">
      <c r="A57" s="176"/>
      <c r="B57" s="178"/>
      <c r="C57" s="178" t="s">
        <v>114</v>
      </c>
      <c r="D57" s="178" t="s">
        <v>32</v>
      </c>
      <c r="E57" s="178" t="s">
        <v>115</v>
      </c>
      <c r="F57" s="178" t="s">
        <v>173</v>
      </c>
      <c r="G57" s="178"/>
      <c r="H57" s="178"/>
      <c r="I57" s="178">
        <v>2</v>
      </c>
      <c r="J57" s="215">
        <v>0.1363</v>
      </c>
    </row>
    <row r="58" spans="1:10">
      <c r="A58" s="176"/>
      <c r="B58" s="178"/>
      <c r="C58" s="178" t="s">
        <v>114</v>
      </c>
      <c r="D58" s="178" t="s">
        <v>32</v>
      </c>
      <c r="E58" s="178" t="s">
        <v>115</v>
      </c>
      <c r="F58" s="178" t="s">
        <v>174</v>
      </c>
      <c r="G58" s="178"/>
      <c r="H58" s="178"/>
      <c r="I58" s="178">
        <v>1</v>
      </c>
      <c r="J58" s="215">
        <v>0.0946</v>
      </c>
    </row>
    <row r="59" spans="1:10">
      <c r="A59" s="176"/>
      <c r="B59" s="178"/>
      <c r="C59" s="178" t="s">
        <v>134</v>
      </c>
      <c r="D59" s="178" t="s">
        <v>32</v>
      </c>
      <c r="E59" s="178" t="s">
        <v>115</v>
      </c>
      <c r="F59" s="178" t="s">
        <v>156</v>
      </c>
      <c r="G59" s="178"/>
      <c r="H59" s="178"/>
      <c r="I59" s="178">
        <v>1</v>
      </c>
      <c r="J59" s="215">
        <v>0.3406</v>
      </c>
    </row>
    <row r="60" spans="1:10">
      <c r="A60" s="176"/>
      <c r="B60" s="178"/>
      <c r="C60" s="178" t="s">
        <v>129</v>
      </c>
      <c r="D60" s="178" t="s">
        <v>32</v>
      </c>
      <c r="E60" s="178" t="s">
        <v>115</v>
      </c>
      <c r="F60" s="178" t="s">
        <v>175</v>
      </c>
      <c r="G60" s="178"/>
      <c r="H60" s="178"/>
      <c r="I60" s="178">
        <v>1</v>
      </c>
      <c r="J60" s="215">
        <v>0.7</v>
      </c>
    </row>
    <row r="61" spans="1:10">
      <c r="A61" s="176"/>
      <c r="B61" s="178"/>
      <c r="C61" s="178" t="s">
        <v>114</v>
      </c>
      <c r="D61" s="178" t="s">
        <v>32</v>
      </c>
      <c r="E61" s="178" t="s">
        <v>115</v>
      </c>
      <c r="F61" s="178" t="s">
        <v>176</v>
      </c>
      <c r="G61" s="178"/>
      <c r="H61" s="178"/>
      <c r="I61" s="178">
        <v>1</v>
      </c>
      <c r="J61" s="215">
        <v>1.02</v>
      </c>
    </row>
    <row r="62" spans="1:10">
      <c r="A62" s="176"/>
      <c r="B62" s="178"/>
      <c r="C62" s="178" t="s">
        <v>139</v>
      </c>
      <c r="D62" s="178" t="s">
        <v>32</v>
      </c>
      <c r="E62" s="178" t="s">
        <v>115</v>
      </c>
      <c r="F62" s="178" t="s">
        <v>177</v>
      </c>
      <c r="G62" s="178"/>
      <c r="H62" s="178"/>
      <c r="I62" s="178">
        <v>1</v>
      </c>
      <c r="J62" s="215">
        <v>0.2673</v>
      </c>
    </row>
    <row r="63" spans="1:10">
      <c r="A63" s="176"/>
      <c r="B63" s="178"/>
      <c r="C63" s="178" t="s">
        <v>129</v>
      </c>
      <c r="D63" s="178" t="s">
        <v>32</v>
      </c>
      <c r="E63" s="178" t="s">
        <v>115</v>
      </c>
      <c r="F63" s="178" t="s">
        <v>178</v>
      </c>
      <c r="G63" s="178"/>
      <c r="H63" s="178"/>
      <c r="I63" s="178">
        <v>1</v>
      </c>
      <c r="J63" s="215">
        <v>0.2288</v>
      </c>
    </row>
    <row r="64" spans="1:10">
      <c r="A64" s="176"/>
      <c r="B64" s="178"/>
      <c r="C64" s="178" t="s">
        <v>114</v>
      </c>
      <c r="D64" s="178" t="s">
        <v>32</v>
      </c>
      <c r="E64" s="178" t="s">
        <v>115</v>
      </c>
      <c r="F64" s="178" t="s">
        <v>179</v>
      </c>
      <c r="G64" s="178"/>
      <c r="H64" s="178"/>
      <c r="I64" s="178">
        <v>1</v>
      </c>
      <c r="J64" s="215">
        <v>0.4886</v>
      </c>
    </row>
    <row r="65" spans="1:10">
      <c r="A65" s="176"/>
      <c r="B65" s="178"/>
      <c r="C65" s="178" t="s">
        <v>180</v>
      </c>
      <c r="D65" s="178" t="s">
        <v>32</v>
      </c>
      <c r="E65" s="178" t="s">
        <v>115</v>
      </c>
      <c r="F65" s="178" t="s">
        <v>181</v>
      </c>
      <c r="G65" s="178"/>
      <c r="H65" s="178"/>
      <c r="I65" s="178">
        <v>2</v>
      </c>
      <c r="J65" s="215">
        <v>0.1237</v>
      </c>
    </row>
    <row r="66" spans="1:10">
      <c r="A66" s="176"/>
      <c r="B66" s="178"/>
      <c r="C66" s="178" t="s">
        <v>165</v>
      </c>
      <c r="D66" s="178" t="s">
        <v>32</v>
      </c>
      <c r="E66" s="178" t="s">
        <v>115</v>
      </c>
      <c r="F66" s="178" t="s">
        <v>182</v>
      </c>
      <c r="G66" s="178"/>
      <c r="H66" s="178"/>
      <c r="I66" s="178">
        <v>2</v>
      </c>
      <c r="J66" s="215">
        <v>0.5108</v>
      </c>
    </row>
    <row r="67" spans="1:10">
      <c r="A67" s="176"/>
      <c r="B67" s="178"/>
      <c r="C67" s="178" t="s">
        <v>114</v>
      </c>
      <c r="D67" s="178" t="s">
        <v>32</v>
      </c>
      <c r="E67" s="178" t="s">
        <v>115</v>
      </c>
      <c r="F67" s="178" t="s">
        <v>183</v>
      </c>
      <c r="G67" s="178"/>
      <c r="H67" s="178"/>
      <c r="I67" s="178">
        <v>1</v>
      </c>
      <c r="J67" s="215">
        <v>0.4942</v>
      </c>
    </row>
    <row r="68" spans="1:10">
      <c r="A68" s="176"/>
      <c r="B68" s="178"/>
      <c r="C68" s="178" t="s">
        <v>180</v>
      </c>
      <c r="D68" s="178" t="s">
        <v>32</v>
      </c>
      <c r="E68" s="178" t="s">
        <v>115</v>
      </c>
      <c r="F68" s="178" t="s">
        <v>184</v>
      </c>
      <c r="G68" s="178"/>
      <c r="H68" s="178"/>
      <c r="I68" s="178">
        <v>2</v>
      </c>
      <c r="J68" s="215">
        <v>0.1251</v>
      </c>
    </row>
    <row r="69" spans="1:10">
      <c r="A69" s="176"/>
      <c r="B69" s="178"/>
      <c r="C69" s="178" t="s">
        <v>129</v>
      </c>
      <c r="D69" s="178" t="s">
        <v>32</v>
      </c>
      <c r="E69" s="178" t="s">
        <v>115</v>
      </c>
      <c r="F69" s="178" t="s">
        <v>185</v>
      </c>
      <c r="G69" s="178"/>
      <c r="H69" s="178"/>
      <c r="I69" s="178">
        <v>1</v>
      </c>
      <c r="J69" s="215">
        <v>0.1104</v>
      </c>
    </row>
    <row r="70" spans="1:10">
      <c r="A70" s="176"/>
      <c r="B70" s="178"/>
      <c r="C70" s="178" t="s">
        <v>114</v>
      </c>
      <c r="D70" s="178" t="s">
        <v>32</v>
      </c>
      <c r="E70" s="178" t="s">
        <v>115</v>
      </c>
      <c r="F70" s="178" t="s">
        <v>186</v>
      </c>
      <c r="G70" s="178"/>
      <c r="H70" s="178"/>
      <c r="I70" s="178">
        <v>1</v>
      </c>
      <c r="J70" s="215">
        <v>0.239</v>
      </c>
    </row>
    <row r="71" spans="1:10">
      <c r="A71" s="176"/>
      <c r="B71" s="178"/>
      <c r="C71" s="178" t="s">
        <v>180</v>
      </c>
      <c r="D71" s="178" t="s">
        <v>32</v>
      </c>
      <c r="E71" s="178" t="s">
        <v>115</v>
      </c>
      <c r="F71" s="178" t="s">
        <v>187</v>
      </c>
      <c r="G71" s="178"/>
      <c r="H71" s="178"/>
      <c r="I71" s="178">
        <v>2</v>
      </c>
      <c r="J71" s="215">
        <v>0.0597</v>
      </c>
    </row>
    <row r="72" spans="1:10">
      <c r="A72" s="176"/>
      <c r="B72" s="178"/>
      <c r="C72" s="178" t="s">
        <v>142</v>
      </c>
      <c r="D72" s="178" t="s">
        <v>32</v>
      </c>
      <c r="E72" s="178" t="s">
        <v>115</v>
      </c>
      <c r="F72" s="178" t="s">
        <v>188</v>
      </c>
      <c r="G72" s="178"/>
      <c r="H72" s="178"/>
      <c r="I72" s="178">
        <v>1</v>
      </c>
      <c r="J72" s="215">
        <v>0.3771</v>
      </c>
    </row>
    <row r="73" spans="1:10">
      <c r="A73" s="176"/>
      <c r="B73" s="178"/>
      <c r="C73" s="178" t="s">
        <v>134</v>
      </c>
      <c r="D73" s="178" t="s">
        <v>32</v>
      </c>
      <c r="E73" s="178" t="s">
        <v>115</v>
      </c>
      <c r="F73" s="178" t="s">
        <v>177</v>
      </c>
      <c r="G73" s="178"/>
      <c r="H73" s="178"/>
      <c r="I73" s="178">
        <v>1</v>
      </c>
      <c r="J73" s="215">
        <v>0.2673</v>
      </c>
    </row>
    <row r="74" spans="1:10">
      <c r="A74" s="176"/>
      <c r="B74" s="178"/>
      <c r="C74" s="178" t="s">
        <v>145</v>
      </c>
      <c r="D74" s="178" t="s">
        <v>32</v>
      </c>
      <c r="E74" s="178" t="s">
        <v>115</v>
      </c>
      <c r="F74" s="178" t="s">
        <v>189</v>
      </c>
      <c r="G74" s="178"/>
      <c r="H74" s="178"/>
      <c r="I74" s="178">
        <v>1</v>
      </c>
      <c r="J74" s="215">
        <v>0.1</v>
      </c>
    </row>
    <row r="75" spans="1:10">
      <c r="A75" s="176"/>
      <c r="B75" s="178"/>
      <c r="C75" s="178" t="s">
        <v>146</v>
      </c>
      <c r="D75" s="178" t="s">
        <v>32</v>
      </c>
      <c r="E75" s="178" t="s">
        <v>115</v>
      </c>
      <c r="F75" s="178" t="s">
        <v>190</v>
      </c>
      <c r="G75" s="178"/>
      <c r="H75" s="178"/>
      <c r="I75" s="178">
        <v>1</v>
      </c>
      <c r="J75" s="215">
        <v>0.16</v>
      </c>
    </row>
    <row r="76" spans="1:10">
      <c r="A76" s="176"/>
      <c r="B76" s="178"/>
      <c r="C76" s="178" t="s">
        <v>31</v>
      </c>
      <c r="D76" s="178" t="s">
        <v>32</v>
      </c>
      <c r="E76" s="178" t="s">
        <v>33</v>
      </c>
      <c r="F76" s="178" t="s">
        <v>191</v>
      </c>
      <c r="G76" s="178"/>
      <c r="H76" s="178"/>
      <c r="I76" s="178">
        <v>1</v>
      </c>
      <c r="J76" s="215">
        <v>0.3402</v>
      </c>
    </row>
    <row r="77" spans="1:10">
      <c r="A77" s="176"/>
      <c r="B77" s="178"/>
      <c r="C77" s="178" t="s">
        <v>35</v>
      </c>
      <c r="D77" s="178" t="s">
        <v>32</v>
      </c>
      <c r="E77" s="178" t="s">
        <v>33</v>
      </c>
      <c r="F77" s="178" t="s">
        <v>191</v>
      </c>
      <c r="G77" s="178"/>
      <c r="H77" s="178"/>
      <c r="I77" s="178">
        <v>1</v>
      </c>
      <c r="J77" s="215">
        <v>0.3402</v>
      </c>
    </row>
    <row r="78" spans="1:10">
      <c r="A78" s="176"/>
      <c r="B78" s="178"/>
      <c r="C78" s="178" t="s">
        <v>31</v>
      </c>
      <c r="D78" s="178" t="s">
        <v>32</v>
      </c>
      <c r="E78" s="178" t="s">
        <v>111</v>
      </c>
      <c r="F78" s="178" t="s">
        <v>191</v>
      </c>
      <c r="G78" s="178"/>
      <c r="H78" s="178"/>
      <c r="I78" s="178">
        <v>1</v>
      </c>
      <c r="J78" s="215">
        <v>0.3402</v>
      </c>
    </row>
    <row r="79" spans="1:10">
      <c r="A79" s="176"/>
      <c r="B79" s="178"/>
      <c r="C79" s="178" t="s">
        <v>35</v>
      </c>
      <c r="D79" s="178" t="s">
        <v>32</v>
      </c>
      <c r="E79" s="178" t="s">
        <v>111</v>
      </c>
      <c r="F79" s="178" t="s">
        <v>191</v>
      </c>
      <c r="G79" s="178"/>
      <c r="H79" s="178"/>
      <c r="I79" s="178">
        <v>2</v>
      </c>
      <c r="J79" s="215">
        <v>0.6805</v>
      </c>
    </row>
    <row r="80" spans="1:10">
      <c r="A80" s="176"/>
      <c r="B80" s="178"/>
      <c r="C80" s="178" t="s">
        <v>31</v>
      </c>
      <c r="D80" s="178" t="s">
        <v>32</v>
      </c>
      <c r="E80" s="178" t="s">
        <v>111</v>
      </c>
      <c r="F80" s="178" t="s">
        <v>192</v>
      </c>
      <c r="G80" s="178"/>
      <c r="H80" s="178"/>
      <c r="I80" s="178">
        <v>2</v>
      </c>
      <c r="J80" s="215">
        <v>0.6701</v>
      </c>
    </row>
    <row r="81" spans="1:10">
      <c r="A81" s="176"/>
      <c r="B81" s="178"/>
      <c r="C81" s="178" t="s">
        <v>35</v>
      </c>
      <c r="D81" s="178" t="s">
        <v>32</v>
      </c>
      <c r="E81" s="178" t="s">
        <v>111</v>
      </c>
      <c r="F81" s="178" t="s">
        <v>192</v>
      </c>
      <c r="G81" s="178"/>
      <c r="H81" s="178"/>
      <c r="I81" s="178">
        <v>3</v>
      </c>
      <c r="J81" s="215">
        <v>1.0052</v>
      </c>
    </row>
    <row r="82" spans="1:10">
      <c r="A82" s="176"/>
      <c r="B82" s="178"/>
      <c r="C82" s="178" t="s">
        <v>114</v>
      </c>
      <c r="D82" s="178" t="s">
        <v>32</v>
      </c>
      <c r="E82" s="178" t="s">
        <v>115</v>
      </c>
      <c r="F82" s="178" t="s">
        <v>193</v>
      </c>
      <c r="G82" s="178"/>
      <c r="H82" s="178"/>
      <c r="I82" s="178">
        <v>1</v>
      </c>
      <c r="J82" s="215">
        <v>0.3496</v>
      </c>
    </row>
    <row r="83" spans="1:10">
      <c r="A83" s="176"/>
      <c r="B83" s="178"/>
      <c r="C83" s="178" t="s">
        <v>142</v>
      </c>
      <c r="D83" s="178" t="s">
        <v>32</v>
      </c>
      <c r="E83" s="178" t="s">
        <v>115</v>
      </c>
      <c r="F83" s="178" t="s">
        <v>194</v>
      </c>
      <c r="G83" s="178"/>
      <c r="H83" s="178"/>
      <c r="I83" s="178">
        <v>1</v>
      </c>
      <c r="J83" s="215">
        <v>0.2357</v>
      </c>
    </row>
    <row r="84" spans="1:10">
      <c r="A84" s="176"/>
      <c r="B84" s="178"/>
      <c r="C84" s="178" t="s">
        <v>47</v>
      </c>
      <c r="D84" s="178" t="s">
        <v>570</v>
      </c>
      <c r="E84" s="178" t="s">
        <v>48</v>
      </c>
      <c r="F84" s="178" t="s">
        <v>49</v>
      </c>
      <c r="G84" s="178"/>
      <c r="H84" s="178"/>
      <c r="I84" s="178">
        <v>166</v>
      </c>
      <c r="J84" s="180" t="s">
        <v>4</v>
      </c>
    </row>
    <row r="85" spans="1:10">
      <c r="A85" s="176"/>
      <c r="B85" s="178"/>
      <c r="C85" s="178" t="s">
        <v>50</v>
      </c>
      <c r="D85" s="178" t="s">
        <v>570</v>
      </c>
      <c r="E85" s="178" t="s">
        <v>51</v>
      </c>
      <c r="F85" s="178" t="s">
        <v>58</v>
      </c>
      <c r="G85" s="178"/>
      <c r="H85" s="178"/>
      <c r="I85" s="178">
        <v>2</v>
      </c>
      <c r="J85" s="180" t="s">
        <v>4</v>
      </c>
    </row>
    <row r="86" spans="1:10">
      <c r="A86" s="176"/>
      <c r="B86" s="178"/>
      <c r="C86" s="178" t="s">
        <v>59</v>
      </c>
      <c r="D86" s="178" t="s">
        <v>570</v>
      </c>
      <c r="E86" s="178" t="s">
        <v>48</v>
      </c>
      <c r="F86" s="178" t="s">
        <v>60</v>
      </c>
      <c r="G86" s="178"/>
      <c r="H86" s="178"/>
      <c r="I86" s="178">
        <v>8</v>
      </c>
      <c r="J86" s="180" t="s">
        <v>4</v>
      </c>
    </row>
    <row r="87" spans="1:10">
      <c r="A87" s="176"/>
      <c r="B87" s="178"/>
      <c r="C87" s="178" t="s">
        <v>50</v>
      </c>
      <c r="D87" s="178" t="s">
        <v>570</v>
      </c>
      <c r="E87" s="178" t="s">
        <v>51</v>
      </c>
      <c r="F87" s="178" t="s">
        <v>61</v>
      </c>
      <c r="G87" s="178"/>
      <c r="H87" s="178"/>
      <c r="I87" s="178">
        <v>1</v>
      </c>
      <c r="J87" s="180" t="s">
        <v>4</v>
      </c>
    </row>
    <row r="88" spans="1:10">
      <c r="A88" s="176"/>
      <c r="B88" s="178"/>
      <c r="C88" s="178" t="s">
        <v>55</v>
      </c>
      <c r="D88" s="178" t="s">
        <v>570</v>
      </c>
      <c r="E88" s="178" t="s">
        <v>56</v>
      </c>
      <c r="F88" s="178" t="s">
        <v>57</v>
      </c>
      <c r="G88" s="178"/>
      <c r="H88" s="178"/>
      <c r="I88" s="178">
        <v>8</v>
      </c>
      <c r="J88" s="180" t="s">
        <v>4</v>
      </c>
    </row>
    <row r="89" spans="1:10">
      <c r="A89" s="176"/>
      <c r="B89" s="178"/>
      <c r="C89" s="178" t="s">
        <v>151</v>
      </c>
      <c r="D89" s="178" t="s">
        <v>570</v>
      </c>
      <c r="E89" s="178" t="s">
        <v>56</v>
      </c>
      <c r="F89" s="178" t="s">
        <v>152</v>
      </c>
      <c r="G89" s="178"/>
      <c r="H89" s="178"/>
      <c r="I89" s="178">
        <v>10</v>
      </c>
      <c r="J89" s="180" t="s">
        <v>4</v>
      </c>
    </row>
    <row r="90" ht="14.25" spans="1:10">
      <c r="A90" s="212"/>
      <c r="B90" s="213"/>
      <c r="C90" s="213" t="s">
        <v>55</v>
      </c>
      <c r="D90" s="213" t="s">
        <v>570</v>
      </c>
      <c r="E90" s="213" t="s">
        <v>56</v>
      </c>
      <c r="F90" s="213" t="s">
        <v>62</v>
      </c>
      <c r="G90" s="213"/>
      <c r="H90" s="213"/>
      <c r="I90" s="213">
        <v>12</v>
      </c>
      <c r="J90" s="216" t="s">
        <v>4</v>
      </c>
    </row>
    <row r="92" spans="1:10">
      <c r="A92" s="63" t="s">
        <v>17</v>
      </c>
      <c r="B92" s="64" t="s">
        <v>18</v>
      </c>
      <c r="C92" s="64" t="s">
        <v>105</v>
      </c>
      <c r="D92" s="64" t="s">
        <v>45</v>
      </c>
      <c r="E92" s="64" t="s">
        <v>21</v>
      </c>
      <c r="F92" s="206" t="s">
        <v>46</v>
      </c>
      <c r="G92" s="207"/>
      <c r="H92" s="208"/>
      <c r="I92" s="64" t="s">
        <v>24</v>
      </c>
      <c r="J92" s="50" t="s">
        <v>550</v>
      </c>
    </row>
    <row r="93" ht="14.25" spans="1:10">
      <c r="A93" s="63"/>
      <c r="B93" s="64"/>
      <c r="C93" s="64"/>
      <c r="D93" s="64"/>
      <c r="E93" s="64"/>
      <c r="F93" s="49"/>
      <c r="G93" s="209"/>
      <c r="H93" s="210"/>
      <c r="I93" s="64"/>
      <c r="J93" s="50"/>
    </row>
    <row r="94" spans="1:10">
      <c r="A94" s="171" t="s">
        <v>196</v>
      </c>
      <c r="B94" s="211" t="s">
        <v>197</v>
      </c>
      <c r="C94" s="173" t="s">
        <v>139</v>
      </c>
      <c r="D94" s="173" t="s">
        <v>32</v>
      </c>
      <c r="E94" s="173" t="s">
        <v>115</v>
      </c>
      <c r="F94" s="173" t="s">
        <v>198</v>
      </c>
      <c r="G94" s="173"/>
      <c r="H94" s="173"/>
      <c r="I94" s="173">
        <v>1</v>
      </c>
      <c r="J94" s="214">
        <v>0.7821</v>
      </c>
    </row>
    <row r="95" spans="1:10">
      <c r="A95" s="176"/>
      <c r="B95" s="178"/>
      <c r="C95" s="178" t="s">
        <v>199</v>
      </c>
      <c r="D95" s="178" t="s">
        <v>32</v>
      </c>
      <c r="E95" s="178" t="s">
        <v>115</v>
      </c>
      <c r="F95" s="178" t="s">
        <v>200</v>
      </c>
      <c r="G95" s="178"/>
      <c r="H95" s="178"/>
      <c r="I95" s="178">
        <v>2</v>
      </c>
      <c r="J95" s="215">
        <v>0.0518</v>
      </c>
    </row>
    <row r="96" spans="1:10">
      <c r="A96" s="176"/>
      <c r="B96" s="178"/>
      <c r="C96" s="178" t="s">
        <v>117</v>
      </c>
      <c r="D96" s="178" t="s">
        <v>32</v>
      </c>
      <c r="E96" s="178" t="s">
        <v>115</v>
      </c>
      <c r="F96" s="178" t="s">
        <v>135</v>
      </c>
      <c r="G96" s="178"/>
      <c r="H96" s="178"/>
      <c r="I96" s="178">
        <v>1</v>
      </c>
      <c r="J96" s="215">
        <v>0.1426</v>
      </c>
    </row>
    <row r="97" spans="1:10">
      <c r="A97" s="176"/>
      <c r="B97" s="178"/>
      <c r="C97" s="178" t="s">
        <v>114</v>
      </c>
      <c r="D97" s="178" t="s">
        <v>32</v>
      </c>
      <c r="E97" s="178" t="s">
        <v>115</v>
      </c>
      <c r="F97" s="178" t="s">
        <v>201</v>
      </c>
      <c r="G97" s="178"/>
      <c r="H97" s="178"/>
      <c r="I97" s="178">
        <v>4</v>
      </c>
      <c r="J97" s="215">
        <v>0.7956</v>
      </c>
    </row>
    <row r="98" spans="1:10">
      <c r="A98" s="176"/>
      <c r="B98" s="178"/>
      <c r="C98" s="178" t="s">
        <v>129</v>
      </c>
      <c r="D98" s="178" t="s">
        <v>32</v>
      </c>
      <c r="E98" s="178" t="s">
        <v>115</v>
      </c>
      <c r="F98" s="178" t="s">
        <v>202</v>
      </c>
      <c r="G98" s="178"/>
      <c r="H98" s="178"/>
      <c r="I98" s="178">
        <v>4</v>
      </c>
      <c r="J98" s="215">
        <v>0.5616</v>
      </c>
    </row>
    <row r="99" spans="1:10">
      <c r="A99" s="176"/>
      <c r="B99" s="178"/>
      <c r="C99" s="178" t="s">
        <v>114</v>
      </c>
      <c r="D99" s="178" t="s">
        <v>32</v>
      </c>
      <c r="E99" s="178" t="s">
        <v>115</v>
      </c>
      <c r="F99" s="178" t="s">
        <v>203</v>
      </c>
      <c r="G99" s="178"/>
      <c r="H99" s="178"/>
      <c r="I99" s="178">
        <v>1</v>
      </c>
      <c r="J99" s="215">
        <v>0.1291</v>
      </c>
    </row>
    <row r="100" spans="1:10">
      <c r="A100" s="176"/>
      <c r="B100" s="178"/>
      <c r="C100" s="178" t="s">
        <v>142</v>
      </c>
      <c r="D100" s="178" t="s">
        <v>32</v>
      </c>
      <c r="E100" s="178" t="s">
        <v>115</v>
      </c>
      <c r="F100" s="178" t="s">
        <v>204</v>
      </c>
      <c r="G100" s="178"/>
      <c r="H100" s="178"/>
      <c r="I100" s="178">
        <v>1</v>
      </c>
      <c r="J100" s="215">
        <v>0.0829</v>
      </c>
    </row>
    <row r="101" spans="1:10">
      <c r="A101" s="176"/>
      <c r="B101" s="178"/>
      <c r="C101" s="178" t="s">
        <v>134</v>
      </c>
      <c r="D101" s="178" t="s">
        <v>32</v>
      </c>
      <c r="E101" s="178" t="s">
        <v>115</v>
      </c>
      <c r="F101" s="178" t="s">
        <v>198</v>
      </c>
      <c r="G101" s="178"/>
      <c r="H101" s="178"/>
      <c r="I101" s="178">
        <v>1</v>
      </c>
      <c r="J101" s="215">
        <v>0.7821</v>
      </c>
    </row>
    <row r="102" spans="1:10">
      <c r="A102" s="176"/>
      <c r="B102" s="178"/>
      <c r="C102" s="178" t="s">
        <v>145</v>
      </c>
      <c r="D102" s="178" t="s">
        <v>32</v>
      </c>
      <c r="E102" s="178" t="s">
        <v>115</v>
      </c>
      <c r="F102" s="178" t="s">
        <v>205</v>
      </c>
      <c r="G102" s="178"/>
      <c r="H102" s="178"/>
      <c r="I102" s="178">
        <v>1</v>
      </c>
      <c r="J102" s="215">
        <v>0.0234</v>
      </c>
    </row>
    <row r="103" spans="1:10">
      <c r="A103" s="176"/>
      <c r="B103" s="178"/>
      <c r="C103" s="178" t="s">
        <v>146</v>
      </c>
      <c r="D103" s="178" t="s">
        <v>32</v>
      </c>
      <c r="E103" s="178" t="s">
        <v>115</v>
      </c>
      <c r="F103" s="178" t="s">
        <v>206</v>
      </c>
      <c r="G103" s="178"/>
      <c r="H103" s="178"/>
      <c r="I103" s="178">
        <v>1</v>
      </c>
      <c r="J103" s="215">
        <v>0.0374</v>
      </c>
    </row>
    <row r="104" spans="1:10">
      <c r="A104" s="176"/>
      <c r="B104" s="178"/>
      <c r="C104" s="178" t="s">
        <v>35</v>
      </c>
      <c r="D104" s="178" t="s">
        <v>32</v>
      </c>
      <c r="E104" s="178" t="s">
        <v>33</v>
      </c>
      <c r="F104" s="178" t="s">
        <v>207</v>
      </c>
      <c r="G104" s="178"/>
      <c r="H104" s="178"/>
      <c r="I104" s="178">
        <v>1</v>
      </c>
      <c r="J104" s="215">
        <v>1.11</v>
      </c>
    </row>
    <row r="105" spans="1:10">
      <c r="A105" s="176"/>
      <c r="B105" s="178"/>
      <c r="C105" s="178" t="s">
        <v>114</v>
      </c>
      <c r="D105" s="178" t="s">
        <v>32</v>
      </c>
      <c r="E105" s="178" t="s">
        <v>115</v>
      </c>
      <c r="F105" s="178" t="s">
        <v>208</v>
      </c>
      <c r="G105" s="178"/>
      <c r="H105" s="178"/>
      <c r="I105" s="178">
        <v>1</v>
      </c>
      <c r="J105" s="215">
        <v>0.0769</v>
      </c>
    </row>
    <row r="106" spans="1:10">
      <c r="A106" s="176"/>
      <c r="B106" s="178"/>
      <c r="C106" s="178" t="s">
        <v>142</v>
      </c>
      <c r="D106" s="178" t="s">
        <v>32</v>
      </c>
      <c r="E106" s="178" t="s">
        <v>115</v>
      </c>
      <c r="F106" s="178" t="s">
        <v>209</v>
      </c>
      <c r="G106" s="178"/>
      <c r="H106" s="178"/>
      <c r="I106" s="178">
        <v>1</v>
      </c>
      <c r="J106" s="215">
        <v>0.0518</v>
      </c>
    </row>
    <row r="107" spans="1:10">
      <c r="A107" s="176"/>
      <c r="B107" s="178"/>
      <c r="C107" s="178" t="s">
        <v>47</v>
      </c>
      <c r="D107" s="178" t="s">
        <v>570</v>
      </c>
      <c r="E107" s="178" t="s">
        <v>48</v>
      </c>
      <c r="F107" s="178" t="s">
        <v>49</v>
      </c>
      <c r="G107" s="178"/>
      <c r="H107" s="178"/>
      <c r="I107" s="178">
        <v>50</v>
      </c>
      <c r="J107" s="180" t="s">
        <v>4</v>
      </c>
    </row>
    <row r="108" spans="1:10">
      <c r="A108" s="176"/>
      <c r="B108" s="178"/>
      <c r="C108" s="178" t="s">
        <v>50</v>
      </c>
      <c r="D108" s="178" t="s">
        <v>570</v>
      </c>
      <c r="E108" s="178" t="s">
        <v>51</v>
      </c>
      <c r="F108" s="178" t="s">
        <v>63</v>
      </c>
      <c r="G108" s="178"/>
      <c r="H108" s="178"/>
      <c r="I108" s="178">
        <v>5</v>
      </c>
      <c r="J108" s="180" t="s">
        <v>4</v>
      </c>
    </row>
    <row r="109" spans="1:10">
      <c r="A109" s="176"/>
      <c r="B109" s="178"/>
      <c r="C109" s="178" t="s">
        <v>50</v>
      </c>
      <c r="D109" s="178" t="s">
        <v>570</v>
      </c>
      <c r="E109" s="178" t="s">
        <v>51</v>
      </c>
      <c r="F109" s="178" t="s">
        <v>64</v>
      </c>
      <c r="G109" s="178"/>
      <c r="H109" s="178"/>
      <c r="I109" s="178">
        <v>1</v>
      </c>
      <c r="J109" s="180" t="s">
        <v>4</v>
      </c>
    </row>
    <row r="110" spans="1:10">
      <c r="A110" s="176"/>
      <c r="B110" s="178"/>
      <c r="C110" s="178" t="s">
        <v>55</v>
      </c>
      <c r="D110" s="178" t="s">
        <v>570</v>
      </c>
      <c r="E110" s="178" t="s">
        <v>56</v>
      </c>
      <c r="F110" s="178" t="s">
        <v>57</v>
      </c>
      <c r="G110" s="178"/>
      <c r="H110" s="178"/>
      <c r="I110" s="178">
        <v>5</v>
      </c>
      <c r="J110" s="180" t="s">
        <v>4</v>
      </c>
    </row>
    <row r="111" ht="14.25" spans="1:10">
      <c r="A111" s="212"/>
      <c r="B111" s="213"/>
      <c r="C111" s="213" t="s">
        <v>151</v>
      </c>
      <c r="D111" s="213" t="s">
        <v>570</v>
      </c>
      <c r="E111" s="213" t="s">
        <v>56</v>
      </c>
      <c r="F111" s="213" t="s">
        <v>152</v>
      </c>
      <c r="G111" s="213"/>
      <c r="H111" s="213"/>
      <c r="I111" s="213">
        <v>1</v>
      </c>
      <c r="J111" s="216" t="s">
        <v>4</v>
      </c>
    </row>
    <row r="113" spans="1:10">
      <c r="A113" s="63" t="s">
        <v>17</v>
      </c>
      <c r="B113" s="64" t="s">
        <v>18</v>
      </c>
      <c r="C113" s="64" t="s">
        <v>105</v>
      </c>
      <c r="D113" s="64" t="s">
        <v>45</v>
      </c>
      <c r="E113" s="64" t="s">
        <v>21</v>
      </c>
      <c r="F113" s="206" t="s">
        <v>46</v>
      </c>
      <c r="G113" s="207"/>
      <c r="H113" s="208"/>
      <c r="I113" s="64" t="s">
        <v>24</v>
      </c>
      <c r="J113" s="50" t="s">
        <v>550</v>
      </c>
    </row>
    <row r="114" ht="14.25" spans="1:10">
      <c r="A114" s="63"/>
      <c r="B114" s="64"/>
      <c r="C114" s="64"/>
      <c r="D114" s="64"/>
      <c r="E114" s="64"/>
      <c r="F114" s="49"/>
      <c r="G114" s="209"/>
      <c r="H114" s="210"/>
      <c r="I114" s="64"/>
      <c r="J114" s="50"/>
    </row>
    <row r="115" spans="1:10">
      <c r="A115" s="171" t="s">
        <v>211</v>
      </c>
      <c r="B115" s="211" t="s">
        <v>212</v>
      </c>
      <c r="C115" s="173" t="s">
        <v>213</v>
      </c>
      <c r="D115" s="173" t="s">
        <v>32</v>
      </c>
      <c r="E115" s="173" t="s">
        <v>111</v>
      </c>
      <c r="F115" s="173" t="s">
        <v>214</v>
      </c>
      <c r="G115" s="173"/>
      <c r="H115" s="173"/>
      <c r="I115" s="173">
        <v>1</v>
      </c>
      <c r="J115" s="214">
        <v>2.6593</v>
      </c>
    </row>
    <row r="116" spans="1:10">
      <c r="A116" s="176"/>
      <c r="B116" s="178"/>
      <c r="C116" s="178" t="s">
        <v>215</v>
      </c>
      <c r="D116" s="178" t="s">
        <v>32</v>
      </c>
      <c r="E116" s="178" t="s">
        <v>115</v>
      </c>
      <c r="F116" s="178" t="s">
        <v>216</v>
      </c>
      <c r="G116" s="178"/>
      <c r="H116" s="178"/>
      <c r="I116" s="178">
        <v>1</v>
      </c>
      <c r="J116" s="215">
        <v>0.0864</v>
      </c>
    </row>
    <row r="117" spans="1:10">
      <c r="A117" s="176"/>
      <c r="B117" s="178"/>
      <c r="C117" s="178" t="s">
        <v>217</v>
      </c>
      <c r="D117" s="178" t="s">
        <v>32</v>
      </c>
      <c r="E117" s="178" t="s">
        <v>115</v>
      </c>
      <c r="F117" s="178" t="s">
        <v>218</v>
      </c>
      <c r="G117" s="178"/>
      <c r="H117" s="178"/>
      <c r="I117" s="178">
        <v>5</v>
      </c>
      <c r="J117" s="215">
        <v>0.414</v>
      </c>
    </row>
    <row r="118" spans="1:10">
      <c r="A118" s="176"/>
      <c r="B118" s="178"/>
      <c r="C118" s="178" t="s">
        <v>114</v>
      </c>
      <c r="D118" s="178" t="s">
        <v>32</v>
      </c>
      <c r="E118" s="178" t="s">
        <v>115</v>
      </c>
      <c r="F118" s="178" t="s">
        <v>219</v>
      </c>
      <c r="G118" s="178"/>
      <c r="H118" s="178"/>
      <c r="I118" s="178">
        <v>1</v>
      </c>
      <c r="J118" s="215">
        <v>0.4458</v>
      </c>
    </row>
    <row r="119" spans="1:10">
      <c r="A119" s="176"/>
      <c r="B119" s="178"/>
      <c r="C119" s="178" t="s">
        <v>220</v>
      </c>
      <c r="D119" s="178" t="s">
        <v>32</v>
      </c>
      <c r="E119" s="178" t="s">
        <v>115</v>
      </c>
      <c r="F119" s="178" t="s">
        <v>216</v>
      </c>
      <c r="G119" s="178"/>
      <c r="H119" s="178"/>
      <c r="I119" s="178">
        <v>1</v>
      </c>
      <c r="J119" s="215">
        <v>0.0864</v>
      </c>
    </row>
    <row r="120" spans="1:10">
      <c r="A120" s="176"/>
      <c r="B120" s="178"/>
      <c r="C120" s="178" t="s">
        <v>221</v>
      </c>
      <c r="D120" s="178" t="s">
        <v>32</v>
      </c>
      <c r="E120" s="178" t="s">
        <v>115</v>
      </c>
      <c r="F120" s="178" t="s">
        <v>222</v>
      </c>
      <c r="G120" s="178"/>
      <c r="H120" s="178"/>
      <c r="I120" s="178">
        <v>1</v>
      </c>
      <c r="J120" s="215">
        <v>0.9871</v>
      </c>
    </row>
    <row r="121" spans="1:10">
      <c r="A121" s="176"/>
      <c r="B121" s="178"/>
      <c r="C121" s="178" t="s">
        <v>223</v>
      </c>
      <c r="D121" s="178" t="s">
        <v>32</v>
      </c>
      <c r="E121" s="178" t="s">
        <v>115</v>
      </c>
      <c r="F121" s="178" t="s">
        <v>224</v>
      </c>
      <c r="G121" s="178"/>
      <c r="H121" s="178"/>
      <c r="I121" s="178">
        <v>1</v>
      </c>
      <c r="J121" s="215">
        <v>1.4291</v>
      </c>
    </row>
    <row r="122" ht="14.25" spans="1:10">
      <c r="A122" s="212"/>
      <c r="B122" s="213"/>
      <c r="C122" s="213" t="s">
        <v>47</v>
      </c>
      <c r="D122" s="213" t="s">
        <v>570</v>
      </c>
      <c r="E122" s="213" t="s">
        <v>48</v>
      </c>
      <c r="F122" s="213" t="s">
        <v>49</v>
      </c>
      <c r="G122" s="213"/>
      <c r="H122" s="213"/>
      <c r="I122" s="213">
        <v>78</v>
      </c>
      <c r="J122" s="216" t="s">
        <v>4</v>
      </c>
    </row>
    <row r="124" spans="1:10">
      <c r="A124" s="63" t="s">
        <v>17</v>
      </c>
      <c r="B124" s="64" t="s">
        <v>18</v>
      </c>
      <c r="C124" s="64" t="s">
        <v>105</v>
      </c>
      <c r="D124" s="64" t="s">
        <v>45</v>
      </c>
      <c r="E124" s="64" t="s">
        <v>21</v>
      </c>
      <c r="F124" s="206" t="s">
        <v>46</v>
      </c>
      <c r="G124" s="207"/>
      <c r="H124" s="208"/>
      <c r="I124" s="64" t="s">
        <v>24</v>
      </c>
      <c r="J124" s="50" t="s">
        <v>550</v>
      </c>
    </row>
    <row r="125" ht="14.25" spans="1:10">
      <c r="A125" s="63"/>
      <c r="B125" s="64"/>
      <c r="C125" s="64"/>
      <c r="D125" s="64"/>
      <c r="E125" s="64"/>
      <c r="F125" s="49"/>
      <c r="G125" s="209"/>
      <c r="H125" s="210"/>
      <c r="I125" s="64"/>
      <c r="J125" s="50"/>
    </row>
    <row r="126" spans="1:10">
      <c r="A126" s="171" t="s">
        <v>226</v>
      </c>
      <c r="B126" s="211" t="s">
        <v>227</v>
      </c>
      <c r="C126" s="173" t="s">
        <v>114</v>
      </c>
      <c r="D126" s="173" t="s">
        <v>32</v>
      </c>
      <c r="E126" s="173" t="s">
        <v>115</v>
      </c>
      <c r="F126" s="173" t="s">
        <v>228</v>
      </c>
      <c r="G126" s="173"/>
      <c r="H126" s="173"/>
      <c r="I126" s="173">
        <v>1</v>
      </c>
      <c r="J126" s="214">
        <v>1.702</v>
      </c>
    </row>
    <row r="127" spans="1:10">
      <c r="A127" s="176"/>
      <c r="B127" s="178"/>
      <c r="C127" s="178" t="s">
        <v>110</v>
      </c>
      <c r="D127" s="178" t="s">
        <v>32</v>
      </c>
      <c r="E127" s="178" t="s">
        <v>115</v>
      </c>
      <c r="F127" s="178" t="s">
        <v>229</v>
      </c>
      <c r="G127" s="178"/>
      <c r="H127" s="178"/>
      <c r="I127" s="178">
        <v>1</v>
      </c>
      <c r="J127" s="215">
        <v>0.2511</v>
      </c>
    </row>
    <row r="128" spans="1:10">
      <c r="A128" s="176"/>
      <c r="B128" s="178"/>
      <c r="C128" s="178" t="s">
        <v>117</v>
      </c>
      <c r="D128" s="178" t="s">
        <v>32</v>
      </c>
      <c r="E128" s="178" t="s">
        <v>115</v>
      </c>
      <c r="F128" s="178" t="s">
        <v>230</v>
      </c>
      <c r="G128" s="178"/>
      <c r="H128" s="178"/>
      <c r="I128" s="178">
        <v>1</v>
      </c>
      <c r="J128" s="215">
        <v>0.5481</v>
      </c>
    </row>
    <row r="129" spans="1:10">
      <c r="A129" s="176"/>
      <c r="B129" s="178"/>
      <c r="C129" s="178" t="s">
        <v>114</v>
      </c>
      <c r="D129" s="178" t="s">
        <v>32</v>
      </c>
      <c r="E129" s="178" t="s">
        <v>115</v>
      </c>
      <c r="F129" s="178" t="s">
        <v>231</v>
      </c>
      <c r="G129" s="178"/>
      <c r="H129" s="178"/>
      <c r="I129" s="178">
        <v>1</v>
      </c>
      <c r="J129" s="215">
        <v>0.3388</v>
      </c>
    </row>
    <row r="130" spans="1:10">
      <c r="A130" s="176"/>
      <c r="B130" s="178"/>
      <c r="C130" s="178" t="s">
        <v>180</v>
      </c>
      <c r="D130" s="178" t="s">
        <v>32</v>
      </c>
      <c r="E130" s="178" t="s">
        <v>115</v>
      </c>
      <c r="F130" s="178" t="s">
        <v>232</v>
      </c>
      <c r="G130" s="178"/>
      <c r="H130" s="178"/>
      <c r="I130" s="178">
        <v>2</v>
      </c>
      <c r="J130" s="215">
        <v>0.1414</v>
      </c>
    </row>
    <row r="131" spans="1:10">
      <c r="A131" s="176"/>
      <c r="B131" s="178"/>
      <c r="C131" s="178" t="s">
        <v>142</v>
      </c>
      <c r="D131" s="178" t="s">
        <v>32</v>
      </c>
      <c r="E131" s="178" t="s">
        <v>115</v>
      </c>
      <c r="F131" s="178" t="s">
        <v>230</v>
      </c>
      <c r="G131" s="178"/>
      <c r="H131" s="178"/>
      <c r="I131" s="178">
        <v>1</v>
      </c>
      <c r="J131" s="215">
        <v>0.5481</v>
      </c>
    </row>
    <row r="132" spans="1:10">
      <c r="A132" s="176"/>
      <c r="B132" s="178"/>
      <c r="C132" s="178" t="s">
        <v>223</v>
      </c>
      <c r="D132" s="178" t="s">
        <v>32</v>
      </c>
      <c r="E132" s="178" t="s">
        <v>115</v>
      </c>
      <c r="F132" s="178" t="s">
        <v>229</v>
      </c>
      <c r="G132" s="178"/>
      <c r="H132" s="178"/>
      <c r="I132" s="178">
        <v>1</v>
      </c>
      <c r="J132" s="215">
        <v>0.2511</v>
      </c>
    </row>
    <row r="133" spans="1:10">
      <c r="A133" s="176"/>
      <c r="B133" s="178"/>
      <c r="C133" s="178" t="s">
        <v>145</v>
      </c>
      <c r="D133" s="178" t="s">
        <v>32</v>
      </c>
      <c r="E133" s="178" t="s">
        <v>115</v>
      </c>
      <c r="F133" s="178" t="s">
        <v>233</v>
      </c>
      <c r="G133" s="178"/>
      <c r="H133" s="178"/>
      <c r="I133" s="178">
        <v>1</v>
      </c>
      <c r="J133" s="215">
        <v>0.046</v>
      </c>
    </row>
    <row r="134" spans="1:10">
      <c r="A134" s="176"/>
      <c r="B134" s="178"/>
      <c r="C134" s="178" t="s">
        <v>146</v>
      </c>
      <c r="D134" s="178" t="s">
        <v>32</v>
      </c>
      <c r="E134" s="178" t="s">
        <v>115</v>
      </c>
      <c r="F134" s="178" t="s">
        <v>234</v>
      </c>
      <c r="G134" s="178"/>
      <c r="H134" s="178"/>
      <c r="I134" s="178">
        <v>1</v>
      </c>
      <c r="J134" s="215">
        <v>0.0736</v>
      </c>
    </row>
    <row r="135" spans="1:10">
      <c r="A135" s="176"/>
      <c r="B135" s="178"/>
      <c r="C135" s="178" t="s">
        <v>31</v>
      </c>
      <c r="D135" s="178" t="s">
        <v>32</v>
      </c>
      <c r="E135" s="178" t="s">
        <v>111</v>
      </c>
      <c r="F135" s="178" t="s">
        <v>235</v>
      </c>
      <c r="G135" s="178"/>
      <c r="H135" s="178"/>
      <c r="I135" s="178">
        <v>1</v>
      </c>
      <c r="J135" s="215">
        <v>0.202</v>
      </c>
    </row>
    <row r="136" spans="1:10">
      <c r="A136" s="176"/>
      <c r="B136" s="178"/>
      <c r="C136" s="178" t="s">
        <v>35</v>
      </c>
      <c r="D136" s="178" t="s">
        <v>32</v>
      </c>
      <c r="E136" s="178" t="s">
        <v>111</v>
      </c>
      <c r="F136" s="178" t="s">
        <v>235</v>
      </c>
      <c r="G136" s="178"/>
      <c r="H136" s="178"/>
      <c r="I136" s="178">
        <v>1</v>
      </c>
      <c r="J136" s="215">
        <v>0.202</v>
      </c>
    </row>
    <row r="137" spans="1:10">
      <c r="A137" s="176"/>
      <c r="B137" s="178"/>
      <c r="C137" s="178" t="s">
        <v>47</v>
      </c>
      <c r="D137" s="178" t="s">
        <v>570</v>
      </c>
      <c r="E137" s="178" t="s">
        <v>48</v>
      </c>
      <c r="F137" s="178" t="s">
        <v>49</v>
      </c>
      <c r="G137" s="178"/>
      <c r="H137" s="178"/>
      <c r="I137" s="178">
        <v>32</v>
      </c>
      <c r="J137" s="180" t="s">
        <v>4</v>
      </c>
    </row>
    <row r="138" spans="1:10">
      <c r="A138" s="176"/>
      <c r="B138" s="178"/>
      <c r="C138" s="178" t="s">
        <v>55</v>
      </c>
      <c r="D138" s="178" t="s">
        <v>570</v>
      </c>
      <c r="E138" s="178" t="s">
        <v>56</v>
      </c>
      <c r="F138" s="178" t="s">
        <v>57</v>
      </c>
      <c r="G138" s="178"/>
      <c r="H138" s="178"/>
      <c r="I138" s="178">
        <v>4</v>
      </c>
      <c r="J138" s="180" t="s">
        <v>4</v>
      </c>
    </row>
    <row r="139" ht="14.25" spans="1:10">
      <c r="A139" s="212"/>
      <c r="B139" s="213"/>
      <c r="C139" s="213" t="s">
        <v>151</v>
      </c>
      <c r="D139" s="213" t="s">
        <v>570</v>
      </c>
      <c r="E139" s="213" t="s">
        <v>56</v>
      </c>
      <c r="F139" s="213" t="s">
        <v>152</v>
      </c>
      <c r="G139" s="213"/>
      <c r="H139" s="213"/>
      <c r="I139" s="213">
        <v>2</v>
      </c>
      <c r="J139" s="216" t="s">
        <v>4</v>
      </c>
    </row>
    <row r="141" spans="1:10">
      <c r="A141" s="63" t="s">
        <v>17</v>
      </c>
      <c r="B141" s="64" t="s">
        <v>18</v>
      </c>
      <c r="C141" s="64" t="s">
        <v>105</v>
      </c>
      <c r="D141" s="64" t="s">
        <v>45</v>
      </c>
      <c r="E141" s="64" t="s">
        <v>21</v>
      </c>
      <c r="F141" s="206" t="s">
        <v>46</v>
      </c>
      <c r="G141" s="207"/>
      <c r="H141" s="208"/>
      <c r="I141" s="64" t="s">
        <v>24</v>
      </c>
      <c r="J141" s="50" t="s">
        <v>550</v>
      </c>
    </row>
    <row r="142" ht="14.25" spans="1:10">
      <c r="A142" s="63"/>
      <c r="B142" s="64"/>
      <c r="C142" s="64"/>
      <c r="D142" s="64"/>
      <c r="E142" s="64"/>
      <c r="F142" s="49"/>
      <c r="G142" s="209"/>
      <c r="H142" s="210"/>
      <c r="I142" s="64"/>
      <c r="J142" s="50"/>
    </row>
    <row r="143" spans="1:10">
      <c r="A143" s="171" t="s">
        <v>237</v>
      </c>
      <c r="B143" s="211" t="s">
        <v>238</v>
      </c>
      <c r="C143" s="173" t="s">
        <v>110</v>
      </c>
      <c r="D143" s="173" t="s">
        <v>32</v>
      </c>
      <c r="E143" s="173" t="s">
        <v>115</v>
      </c>
      <c r="F143" s="173" t="s">
        <v>224</v>
      </c>
      <c r="G143" s="173"/>
      <c r="H143" s="173"/>
      <c r="I143" s="173">
        <v>1</v>
      </c>
      <c r="J143" s="214">
        <v>1.4291</v>
      </c>
    </row>
    <row r="144" spans="1:10">
      <c r="A144" s="176"/>
      <c r="B144" s="178"/>
      <c r="C144" s="178" t="s">
        <v>131</v>
      </c>
      <c r="D144" s="178" t="s">
        <v>32</v>
      </c>
      <c r="E144" s="178" t="s">
        <v>111</v>
      </c>
      <c r="F144" s="178" t="s">
        <v>239</v>
      </c>
      <c r="G144" s="178"/>
      <c r="H144" s="178"/>
      <c r="I144" s="178">
        <v>1</v>
      </c>
      <c r="J144" s="215">
        <v>0.0753</v>
      </c>
    </row>
    <row r="145" spans="1:10">
      <c r="A145" s="176"/>
      <c r="B145" s="178"/>
      <c r="C145" s="178" t="s">
        <v>199</v>
      </c>
      <c r="D145" s="178" t="s">
        <v>32</v>
      </c>
      <c r="E145" s="178" t="s">
        <v>115</v>
      </c>
      <c r="F145" s="178" t="s">
        <v>240</v>
      </c>
      <c r="G145" s="178"/>
      <c r="H145" s="178"/>
      <c r="I145" s="178">
        <v>2</v>
      </c>
      <c r="J145" s="215">
        <v>0.1454</v>
      </c>
    </row>
    <row r="146" spans="1:10">
      <c r="A146" s="176"/>
      <c r="B146" s="178"/>
      <c r="C146" s="178" t="s">
        <v>117</v>
      </c>
      <c r="D146" s="178" t="s">
        <v>32</v>
      </c>
      <c r="E146" s="178" t="s">
        <v>115</v>
      </c>
      <c r="F146" s="178" t="s">
        <v>241</v>
      </c>
      <c r="G146" s="178"/>
      <c r="H146" s="178"/>
      <c r="I146" s="178">
        <v>1</v>
      </c>
      <c r="J146" s="215">
        <v>0.4098</v>
      </c>
    </row>
    <row r="147" spans="1:10">
      <c r="A147" s="176"/>
      <c r="B147" s="178"/>
      <c r="C147" s="178" t="s">
        <v>129</v>
      </c>
      <c r="D147" s="178" t="s">
        <v>32</v>
      </c>
      <c r="E147" s="178" t="s">
        <v>115</v>
      </c>
      <c r="F147" s="178" t="s">
        <v>242</v>
      </c>
      <c r="G147" s="178"/>
      <c r="H147" s="178"/>
      <c r="I147" s="178">
        <v>2</v>
      </c>
      <c r="J147" s="215">
        <v>0.7747</v>
      </c>
    </row>
    <row r="148" spans="1:10">
      <c r="A148" s="176"/>
      <c r="B148" s="178"/>
      <c r="C148" s="178" t="s">
        <v>114</v>
      </c>
      <c r="D148" s="178" t="s">
        <v>32</v>
      </c>
      <c r="E148" s="178" t="s">
        <v>115</v>
      </c>
      <c r="F148" s="178" t="s">
        <v>243</v>
      </c>
      <c r="G148" s="178"/>
      <c r="H148" s="178"/>
      <c r="I148" s="178">
        <v>1</v>
      </c>
      <c r="J148" s="215">
        <v>0.4455</v>
      </c>
    </row>
    <row r="149" spans="1:10">
      <c r="A149" s="176"/>
      <c r="B149" s="178"/>
      <c r="C149" s="178" t="s">
        <v>129</v>
      </c>
      <c r="D149" s="178" t="s">
        <v>32</v>
      </c>
      <c r="E149" s="178" t="s">
        <v>115</v>
      </c>
      <c r="F149" s="178" t="s">
        <v>241</v>
      </c>
      <c r="G149" s="178"/>
      <c r="H149" s="178"/>
      <c r="I149" s="178">
        <v>2</v>
      </c>
      <c r="J149" s="215">
        <v>0.8196</v>
      </c>
    </row>
    <row r="150" spans="1:10">
      <c r="A150" s="176"/>
      <c r="B150" s="178"/>
      <c r="C150" s="178" t="s">
        <v>244</v>
      </c>
      <c r="D150" s="178" t="s">
        <v>32</v>
      </c>
      <c r="E150" s="178" t="s">
        <v>111</v>
      </c>
      <c r="F150" s="178" t="s">
        <v>245</v>
      </c>
      <c r="G150" s="178"/>
      <c r="H150" s="178"/>
      <c r="I150" s="178">
        <v>2</v>
      </c>
      <c r="J150" s="215">
        <v>0.045</v>
      </c>
    </row>
    <row r="151" spans="1:10">
      <c r="A151" s="176"/>
      <c r="B151" s="178"/>
      <c r="C151" s="178" t="s">
        <v>223</v>
      </c>
      <c r="D151" s="178" t="s">
        <v>32</v>
      </c>
      <c r="E151" s="178" t="s">
        <v>115</v>
      </c>
      <c r="F151" s="178" t="s">
        <v>246</v>
      </c>
      <c r="G151" s="178"/>
      <c r="H151" s="178"/>
      <c r="I151" s="178">
        <v>1</v>
      </c>
      <c r="J151" s="215">
        <v>0.279</v>
      </c>
    </row>
    <row r="152" spans="1:10">
      <c r="A152" s="176"/>
      <c r="B152" s="178"/>
      <c r="C152" s="178" t="s">
        <v>110</v>
      </c>
      <c r="D152" s="178" t="s">
        <v>32</v>
      </c>
      <c r="E152" s="178" t="s">
        <v>115</v>
      </c>
      <c r="F152" s="178" t="s">
        <v>246</v>
      </c>
      <c r="G152" s="178"/>
      <c r="H152" s="178"/>
      <c r="I152" s="178">
        <v>1</v>
      </c>
      <c r="J152" s="215">
        <v>0.279</v>
      </c>
    </row>
    <row r="153" spans="1:10">
      <c r="A153" s="176"/>
      <c r="B153" s="178"/>
      <c r="C153" s="178" t="s">
        <v>114</v>
      </c>
      <c r="D153" s="178" t="s">
        <v>32</v>
      </c>
      <c r="E153" s="178" t="s">
        <v>115</v>
      </c>
      <c r="F153" s="178" t="s">
        <v>247</v>
      </c>
      <c r="G153" s="178"/>
      <c r="H153" s="178"/>
      <c r="I153" s="178">
        <v>1</v>
      </c>
      <c r="J153" s="215">
        <v>0.2154</v>
      </c>
    </row>
    <row r="154" spans="1:10">
      <c r="A154" s="176"/>
      <c r="B154" s="178"/>
      <c r="C154" s="178" t="s">
        <v>129</v>
      </c>
      <c r="D154" s="178" t="s">
        <v>32</v>
      </c>
      <c r="E154" s="178" t="s">
        <v>115</v>
      </c>
      <c r="F154" s="178" t="s">
        <v>248</v>
      </c>
      <c r="G154" s="178"/>
      <c r="H154" s="178"/>
      <c r="I154" s="178">
        <v>1</v>
      </c>
      <c r="J154" s="215">
        <v>0.4065</v>
      </c>
    </row>
    <row r="155" spans="1:10">
      <c r="A155" s="176"/>
      <c r="B155" s="178"/>
      <c r="C155" s="178" t="s">
        <v>114</v>
      </c>
      <c r="D155" s="178" t="s">
        <v>32</v>
      </c>
      <c r="E155" s="178" t="s">
        <v>115</v>
      </c>
      <c r="F155" s="178" t="s">
        <v>249</v>
      </c>
      <c r="G155" s="178"/>
      <c r="H155" s="178"/>
      <c r="I155" s="178">
        <v>1</v>
      </c>
      <c r="J155" s="215">
        <v>0.4362</v>
      </c>
    </row>
    <row r="156" spans="1:10">
      <c r="A156" s="176"/>
      <c r="B156" s="178"/>
      <c r="C156" s="178" t="s">
        <v>142</v>
      </c>
      <c r="D156" s="178" t="s">
        <v>32</v>
      </c>
      <c r="E156" s="178" t="s">
        <v>115</v>
      </c>
      <c r="F156" s="178" t="s">
        <v>241</v>
      </c>
      <c r="G156" s="178"/>
      <c r="H156" s="178"/>
      <c r="I156" s="178">
        <v>1</v>
      </c>
      <c r="J156" s="215">
        <v>0.4098</v>
      </c>
    </row>
    <row r="157" spans="1:10">
      <c r="A157" s="176"/>
      <c r="B157" s="178"/>
      <c r="C157" s="178" t="s">
        <v>145</v>
      </c>
      <c r="D157" s="178" t="s">
        <v>32</v>
      </c>
      <c r="E157" s="178" t="s">
        <v>115</v>
      </c>
      <c r="F157" s="178" t="s">
        <v>250</v>
      </c>
      <c r="G157" s="178"/>
      <c r="H157" s="178"/>
      <c r="I157" s="178">
        <v>1</v>
      </c>
      <c r="J157" s="215">
        <v>0.0331</v>
      </c>
    </row>
    <row r="158" spans="1:10">
      <c r="A158" s="176"/>
      <c r="B158" s="178"/>
      <c r="C158" s="178" t="s">
        <v>146</v>
      </c>
      <c r="D158" s="178" t="s">
        <v>32</v>
      </c>
      <c r="E158" s="178" t="s">
        <v>115</v>
      </c>
      <c r="F158" s="178" t="s">
        <v>251</v>
      </c>
      <c r="G158" s="178"/>
      <c r="H158" s="178"/>
      <c r="I158" s="178">
        <v>1</v>
      </c>
      <c r="J158" s="215">
        <v>0.0529</v>
      </c>
    </row>
    <row r="159" spans="1:10">
      <c r="A159" s="176"/>
      <c r="B159" s="178"/>
      <c r="C159" s="178" t="s">
        <v>223</v>
      </c>
      <c r="D159" s="178" t="s">
        <v>32</v>
      </c>
      <c r="E159" s="178" t="s">
        <v>115</v>
      </c>
      <c r="F159" s="178" t="s">
        <v>224</v>
      </c>
      <c r="G159" s="178"/>
      <c r="H159" s="178"/>
      <c r="I159" s="178">
        <v>1</v>
      </c>
      <c r="J159" s="215">
        <v>1.4291</v>
      </c>
    </row>
    <row r="160" spans="1:10">
      <c r="A160" s="176"/>
      <c r="B160" s="178"/>
      <c r="C160" s="178" t="s">
        <v>31</v>
      </c>
      <c r="D160" s="178" t="s">
        <v>32</v>
      </c>
      <c r="E160" s="178" t="s">
        <v>111</v>
      </c>
      <c r="F160" s="178" t="s">
        <v>252</v>
      </c>
      <c r="G160" s="178"/>
      <c r="H160" s="178"/>
      <c r="I160" s="178">
        <v>1</v>
      </c>
      <c r="J160" s="215">
        <v>0.36</v>
      </c>
    </row>
    <row r="161" spans="1:10">
      <c r="A161" s="176"/>
      <c r="B161" s="178"/>
      <c r="C161" s="178" t="s">
        <v>35</v>
      </c>
      <c r="D161" s="178" t="s">
        <v>32</v>
      </c>
      <c r="E161" s="178" t="s">
        <v>111</v>
      </c>
      <c r="F161" s="178" t="s">
        <v>252</v>
      </c>
      <c r="G161" s="178"/>
      <c r="H161" s="178"/>
      <c r="I161" s="178">
        <v>1</v>
      </c>
      <c r="J161" s="215">
        <v>0.36</v>
      </c>
    </row>
    <row r="162" spans="1:10">
      <c r="A162" s="176"/>
      <c r="B162" s="178"/>
      <c r="C162" s="178" t="s">
        <v>31</v>
      </c>
      <c r="D162" s="178" t="s">
        <v>32</v>
      </c>
      <c r="E162" s="178" t="s">
        <v>111</v>
      </c>
      <c r="F162" s="178" t="s">
        <v>253</v>
      </c>
      <c r="G162" s="178"/>
      <c r="H162" s="178"/>
      <c r="I162" s="178">
        <v>1</v>
      </c>
      <c r="J162" s="215">
        <v>0.2374</v>
      </c>
    </row>
    <row r="163" spans="1:10">
      <c r="A163" s="176"/>
      <c r="B163" s="178"/>
      <c r="C163" s="178" t="s">
        <v>35</v>
      </c>
      <c r="D163" s="178" t="s">
        <v>32</v>
      </c>
      <c r="E163" s="178" t="s">
        <v>111</v>
      </c>
      <c r="F163" s="178" t="s">
        <v>253</v>
      </c>
      <c r="G163" s="178"/>
      <c r="H163" s="178"/>
      <c r="I163" s="178">
        <v>1</v>
      </c>
      <c r="J163" s="215">
        <v>0.2374</v>
      </c>
    </row>
    <row r="164" spans="1:10">
      <c r="A164" s="176"/>
      <c r="B164" s="178"/>
      <c r="C164" s="178" t="s">
        <v>47</v>
      </c>
      <c r="D164" s="178" t="s">
        <v>570</v>
      </c>
      <c r="E164" s="178" t="s">
        <v>48</v>
      </c>
      <c r="F164" s="178" t="s">
        <v>49</v>
      </c>
      <c r="G164" s="178"/>
      <c r="H164" s="178"/>
      <c r="I164" s="178">
        <v>67</v>
      </c>
      <c r="J164" s="180" t="s">
        <v>4</v>
      </c>
    </row>
    <row r="165" spans="1:10">
      <c r="A165" s="176"/>
      <c r="B165" s="178"/>
      <c r="C165" s="178" t="s">
        <v>59</v>
      </c>
      <c r="D165" s="178" t="s">
        <v>570</v>
      </c>
      <c r="E165" s="178" t="s">
        <v>48</v>
      </c>
      <c r="F165" s="178" t="s">
        <v>60</v>
      </c>
      <c r="G165" s="178"/>
      <c r="H165" s="178"/>
      <c r="I165" s="178">
        <v>8</v>
      </c>
      <c r="J165" s="180" t="s">
        <v>4</v>
      </c>
    </row>
    <row r="166" spans="1:10">
      <c r="A166" s="176"/>
      <c r="B166" s="178"/>
      <c r="C166" s="178" t="s">
        <v>55</v>
      </c>
      <c r="D166" s="178" t="s">
        <v>570</v>
      </c>
      <c r="E166" s="178" t="s">
        <v>56</v>
      </c>
      <c r="F166" s="178" t="s">
        <v>57</v>
      </c>
      <c r="G166" s="178"/>
      <c r="H166" s="178"/>
      <c r="I166" s="178">
        <v>8</v>
      </c>
      <c r="J166" s="180" t="s">
        <v>4</v>
      </c>
    </row>
    <row r="167" ht="14.25" spans="1:10">
      <c r="A167" s="212"/>
      <c r="B167" s="213"/>
      <c r="C167" s="213" t="s">
        <v>151</v>
      </c>
      <c r="D167" s="213" t="s">
        <v>570</v>
      </c>
      <c r="E167" s="213" t="s">
        <v>56</v>
      </c>
      <c r="F167" s="213" t="s">
        <v>152</v>
      </c>
      <c r="G167" s="213"/>
      <c r="H167" s="213"/>
      <c r="I167" s="213">
        <v>4</v>
      </c>
      <c r="J167" s="216" t="s">
        <v>4</v>
      </c>
    </row>
    <row r="169" spans="1:10">
      <c r="A169" s="63" t="s">
        <v>17</v>
      </c>
      <c r="B169" s="64" t="s">
        <v>18</v>
      </c>
      <c r="C169" s="64" t="s">
        <v>105</v>
      </c>
      <c r="D169" s="64" t="s">
        <v>45</v>
      </c>
      <c r="E169" s="64" t="s">
        <v>21</v>
      </c>
      <c r="F169" s="206" t="s">
        <v>46</v>
      </c>
      <c r="G169" s="207"/>
      <c r="H169" s="208"/>
      <c r="I169" s="64" t="s">
        <v>24</v>
      </c>
      <c r="J169" s="50" t="s">
        <v>550</v>
      </c>
    </row>
    <row r="170" ht="14.25" spans="1:10">
      <c r="A170" s="63"/>
      <c r="B170" s="64"/>
      <c r="C170" s="64"/>
      <c r="D170" s="64"/>
      <c r="E170" s="64"/>
      <c r="F170" s="49"/>
      <c r="G170" s="209"/>
      <c r="H170" s="210"/>
      <c r="I170" s="64"/>
      <c r="J170" s="50"/>
    </row>
    <row r="171" spans="1:10">
      <c r="A171" s="171" t="s">
        <v>108</v>
      </c>
      <c r="B171" s="211" t="s">
        <v>255</v>
      </c>
      <c r="C171" s="173" t="s">
        <v>131</v>
      </c>
      <c r="D171" s="173" t="s">
        <v>32</v>
      </c>
      <c r="E171" s="173" t="s">
        <v>111</v>
      </c>
      <c r="F171" s="173" t="s">
        <v>256</v>
      </c>
      <c r="G171" s="173"/>
      <c r="H171" s="173"/>
      <c r="I171" s="173">
        <v>2</v>
      </c>
      <c r="J171" s="214">
        <v>0.086</v>
      </c>
    </row>
    <row r="172" spans="1:10">
      <c r="A172" s="176"/>
      <c r="B172" s="178"/>
      <c r="C172" s="178" t="s">
        <v>110</v>
      </c>
      <c r="D172" s="178" t="s">
        <v>32</v>
      </c>
      <c r="E172" s="178" t="s">
        <v>115</v>
      </c>
      <c r="F172" s="178" t="s">
        <v>257</v>
      </c>
      <c r="G172" s="178"/>
      <c r="H172" s="178"/>
      <c r="I172" s="178">
        <v>1</v>
      </c>
      <c r="J172" s="215">
        <v>0.5029</v>
      </c>
    </row>
    <row r="173" spans="1:10">
      <c r="A173" s="176"/>
      <c r="B173" s="178"/>
      <c r="C173" s="178" t="s">
        <v>117</v>
      </c>
      <c r="D173" s="178" t="s">
        <v>32</v>
      </c>
      <c r="E173" s="178" t="s">
        <v>115</v>
      </c>
      <c r="F173" s="178" t="s">
        <v>258</v>
      </c>
      <c r="G173" s="178"/>
      <c r="H173" s="178"/>
      <c r="I173" s="178">
        <v>1</v>
      </c>
      <c r="J173" s="215">
        <v>0.1955</v>
      </c>
    </row>
    <row r="174" spans="1:10">
      <c r="A174" s="176"/>
      <c r="B174" s="178"/>
      <c r="C174" s="178" t="s">
        <v>110</v>
      </c>
      <c r="D174" s="178" t="s">
        <v>32</v>
      </c>
      <c r="E174" s="178" t="s">
        <v>115</v>
      </c>
      <c r="F174" s="178" t="s">
        <v>259</v>
      </c>
      <c r="G174" s="178"/>
      <c r="H174" s="178"/>
      <c r="I174" s="178">
        <v>1</v>
      </c>
      <c r="J174" s="215">
        <v>0.4286</v>
      </c>
    </row>
    <row r="175" spans="1:10">
      <c r="A175" s="176"/>
      <c r="B175" s="178"/>
      <c r="C175" s="178" t="s">
        <v>129</v>
      </c>
      <c r="D175" s="178" t="s">
        <v>32</v>
      </c>
      <c r="E175" s="178" t="s">
        <v>115</v>
      </c>
      <c r="F175" s="178" t="s">
        <v>260</v>
      </c>
      <c r="G175" s="178"/>
      <c r="H175" s="178"/>
      <c r="I175" s="178">
        <v>1</v>
      </c>
      <c r="J175" s="215">
        <v>0.1643</v>
      </c>
    </row>
    <row r="176" spans="1:10">
      <c r="A176" s="176"/>
      <c r="B176" s="178"/>
      <c r="C176" s="178" t="s">
        <v>261</v>
      </c>
      <c r="D176" s="178" t="s">
        <v>32</v>
      </c>
      <c r="E176" s="178" t="s">
        <v>115</v>
      </c>
      <c r="F176" s="178" t="s">
        <v>262</v>
      </c>
      <c r="G176" s="178"/>
      <c r="H176" s="178"/>
      <c r="I176" s="178">
        <v>2</v>
      </c>
      <c r="J176" s="215">
        <v>0.0361</v>
      </c>
    </row>
    <row r="177" spans="1:10">
      <c r="A177" s="176"/>
      <c r="B177" s="178"/>
      <c r="C177" s="178" t="s">
        <v>114</v>
      </c>
      <c r="D177" s="178" t="s">
        <v>32</v>
      </c>
      <c r="E177" s="178" t="s">
        <v>115</v>
      </c>
      <c r="F177" s="178" t="s">
        <v>263</v>
      </c>
      <c r="G177" s="178"/>
      <c r="H177" s="178"/>
      <c r="I177" s="178">
        <v>1</v>
      </c>
      <c r="J177" s="215">
        <v>0.2329</v>
      </c>
    </row>
    <row r="178" spans="1:10">
      <c r="A178" s="176"/>
      <c r="B178" s="178"/>
      <c r="C178" s="178" t="s">
        <v>223</v>
      </c>
      <c r="D178" s="178" t="s">
        <v>32</v>
      </c>
      <c r="E178" s="178" t="s">
        <v>115</v>
      </c>
      <c r="F178" s="178" t="s">
        <v>259</v>
      </c>
      <c r="G178" s="178"/>
      <c r="H178" s="178"/>
      <c r="I178" s="178">
        <v>1</v>
      </c>
      <c r="J178" s="215">
        <v>0.4286</v>
      </c>
    </row>
    <row r="179" spans="1:10">
      <c r="A179" s="176"/>
      <c r="B179" s="178"/>
      <c r="C179" s="178" t="s">
        <v>142</v>
      </c>
      <c r="D179" s="178" t="s">
        <v>32</v>
      </c>
      <c r="E179" s="178" t="s">
        <v>115</v>
      </c>
      <c r="F179" s="178" t="s">
        <v>264</v>
      </c>
      <c r="G179" s="178"/>
      <c r="H179" s="178"/>
      <c r="I179" s="178">
        <v>1</v>
      </c>
      <c r="J179" s="215">
        <v>0.5858</v>
      </c>
    </row>
    <row r="180" spans="1:10">
      <c r="A180" s="176"/>
      <c r="B180" s="178"/>
      <c r="C180" s="178" t="s">
        <v>265</v>
      </c>
      <c r="D180" s="178" t="s">
        <v>32</v>
      </c>
      <c r="E180" s="178" t="s">
        <v>111</v>
      </c>
      <c r="F180" s="178" t="s">
        <v>266</v>
      </c>
      <c r="G180" s="178"/>
      <c r="H180" s="178"/>
      <c r="I180" s="178">
        <v>1</v>
      </c>
      <c r="J180" s="215">
        <v>0.2488</v>
      </c>
    </row>
    <row r="181" spans="1:10">
      <c r="A181" s="176"/>
      <c r="B181" s="178"/>
      <c r="C181" s="178" t="s">
        <v>47</v>
      </c>
      <c r="D181" s="178" t="s">
        <v>570</v>
      </c>
      <c r="E181" s="178" t="s">
        <v>48</v>
      </c>
      <c r="F181" s="178" t="s">
        <v>49</v>
      </c>
      <c r="G181" s="178"/>
      <c r="H181" s="178"/>
      <c r="I181" s="178">
        <v>18</v>
      </c>
      <c r="J181" s="180" t="s">
        <v>4</v>
      </c>
    </row>
    <row r="182" spans="1:10">
      <c r="A182" s="176"/>
      <c r="B182" s="178"/>
      <c r="C182" s="178" t="s">
        <v>59</v>
      </c>
      <c r="D182" s="178" t="s">
        <v>570</v>
      </c>
      <c r="E182" s="178" t="s">
        <v>48</v>
      </c>
      <c r="F182" s="178" t="s">
        <v>60</v>
      </c>
      <c r="G182" s="178"/>
      <c r="H182" s="178"/>
      <c r="I182" s="178">
        <v>4</v>
      </c>
      <c r="J182" s="180" t="s">
        <v>4</v>
      </c>
    </row>
    <row r="183" spans="1:10">
      <c r="A183" s="176"/>
      <c r="B183" s="178"/>
      <c r="C183" s="178" t="s">
        <v>55</v>
      </c>
      <c r="D183" s="178" t="s">
        <v>570</v>
      </c>
      <c r="E183" s="178" t="s">
        <v>56</v>
      </c>
      <c r="F183" s="178" t="s">
        <v>57</v>
      </c>
      <c r="G183" s="178"/>
      <c r="H183" s="178"/>
      <c r="I183" s="178">
        <v>2</v>
      </c>
      <c r="J183" s="180" t="s">
        <v>4</v>
      </c>
    </row>
    <row r="184" ht="14.25" spans="1:10">
      <c r="A184" s="212"/>
      <c r="B184" s="213"/>
      <c r="C184" s="213" t="s">
        <v>151</v>
      </c>
      <c r="D184" s="213" t="s">
        <v>570</v>
      </c>
      <c r="E184" s="213" t="s">
        <v>56</v>
      </c>
      <c r="F184" s="213" t="s">
        <v>152</v>
      </c>
      <c r="G184" s="213"/>
      <c r="H184" s="213"/>
      <c r="I184" s="213">
        <v>1</v>
      </c>
      <c r="J184" s="216" t="s">
        <v>4</v>
      </c>
    </row>
    <row r="186" spans="1:10">
      <c r="A186" s="63" t="s">
        <v>17</v>
      </c>
      <c r="B186" s="64" t="s">
        <v>18</v>
      </c>
      <c r="C186" s="64" t="s">
        <v>105</v>
      </c>
      <c r="D186" s="64" t="s">
        <v>45</v>
      </c>
      <c r="E186" s="64" t="s">
        <v>21</v>
      </c>
      <c r="F186" s="206" t="s">
        <v>46</v>
      </c>
      <c r="G186" s="207"/>
      <c r="H186" s="208"/>
      <c r="I186" s="64" t="s">
        <v>24</v>
      </c>
      <c r="J186" s="50" t="s">
        <v>550</v>
      </c>
    </row>
    <row r="187" ht="14.25" spans="1:10">
      <c r="A187" s="63"/>
      <c r="B187" s="64"/>
      <c r="C187" s="64"/>
      <c r="D187" s="64"/>
      <c r="E187" s="64"/>
      <c r="F187" s="49"/>
      <c r="G187" s="209"/>
      <c r="H187" s="210"/>
      <c r="I187" s="64"/>
      <c r="J187" s="50"/>
    </row>
    <row r="188" spans="1:10">
      <c r="A188" s="171" t="s">
        <v>154</v>
      </c>
      <c r="B188" s="211" t="s">
        <v>268</v>
      </c>
      <c r="C188" s="173" t="s">
        <v>110</v>
      </c>
      <c r="D188" s="173" t="s">
        <v>32</v>
      </c>
      <c r="E188" s="173" t="s">
        <v>111</v>
      </c>
      <c r="F188" s="173" t="s">
        <v>269</v>
      </c>
      <c r="G188" s="173"/>
      <c r="H188" s="173"/>
      <c r="I188" s="173">
        <v>1</v>
      </c>
      <c r="J188" s="214">
        <v>1.395</v>
      </c>
    </row>
    <row r="189" spans="1:10">
      <c r="A189" s="176"/>
      <c r="B189" s="178"/>
      <c r="C189" s="178" t="s">
        <v>131</v>
      </c>
      <c r="D189" s="178" t="s">
        <v>32</v>
      </c>
      <c r="E189" s="178" t="s">
        <v>111</v>
      </c>
      <c r="F189" s="178" t="s">
        <v>270</v>
      </c>
      <c r="G189" s="178"/>
      <c r="H189" s="178"/>
      <c r="I189" s="178">
        <v>1</v>
      </c>
      <c r="J189" s="215">
        <v>0.0466</v>
      </c>
    </row>
    <row r="190" spans="1:10">
      <c r="A190" s="176"/>
      <c r="B190" s="178"/>
      <c r="C190" s="178" t="s">
        <v>199</v>
      </c>
      <c r="D190" s="178" t="s">
        <v>32</v>
      </c>
      <c r="E190" s="178" t="s">
        <v>115</v>
      </c>
      <c r="F190" s="178" t="s">
        <v>271</v>
      </c>
      <c r="G190" s="178"/>
      <c r="H190" s="178"/>
      <c r="I190" s="178">
        <v>1</v>
      </c>
      <c r="J190" s="215">
        <v>0.0472</v>
      </c>
    </row>
    <row r="191" spans="1:10">
      <c r="A191" s="176"/>
      <c r="B191" s="178"/>
      <c r="C191" s="178" t="s">
        <v>199</v>
      </c>
      <c r="D191" s="178" t="s">
        <v>32</v>
      </c>
      <c r="E191" s="178" t="s">
        <v>115</v>
      </c>
      <c r="F191" s="178" t="s">
        <v>272</v>
      </c>
      <c r="G191" s="178"/>
      <c r="H191" s="178"/>
      <c r="I191" s="178">
        <v>1</v>
      </c>
      <c r="J191" s="215">
        <v>0.0182</v>
      </c>
    </row>
    <row r="192" spans="1:10">
      <c r="A192" s="176"/>
      <c r="B192" s="178"/>
      <c r="C192" s="178" t="s">
        <v>215</v>
      </c>
      <c r="D192" s="178" t="s">
        <v>32</v>
      </c>
      <c r="E192" s="178" t="s">
        <v>115</v>
      </c>
      <c r="F192" s="178" t="s">
        <v>273</v>
      </c>
      <c r="G192" s="178"/>
      <c r="H192" s="178"/>
      <c r="I192" s="178">
        <v>1</v>
      </c>
      <c r="J192" s="215">
        <v>0.448</v>
      </c>
    </row>
    <row r="193" spans="1:10">
      <c r="A193" s="176"/>
      <c r="B193" s="178"/>
      <c r="C193" s="178" t="s">
        <v>217</v>
      </c>
      <c r="D193" s="178" t="s">
        <v>32</v>
      </c>
      <c r="E193" s="178" t="s">
        <v>115</v>
      </c>
      <c r="F193" s="178" t="s">
        <v>274</v>
      </c>
      <c r="G193" s="178"/>
      <c r="H193" s="178"/>
      <c r="I193" s="178">
        <v>2</v>
      </c>
      <c r="J193" s="215">
        <v>0.8426</v>
      </c>
    </row>
    <row r="194" spans="1:10">
      <c r="A194" s="176"/>
      <c r="B194" s="178"/>
      <c r="C194" s="178" t="s">
        <v>114</v>
      </c>
      <c r="D194" s="178" t="s">
        <v>32</v>
      </c>
      <c r="E194" s="178" t="s">
        <v>115</v>
      </c>
      <c r="F194" s="178" t="s">
        <v>275</v>
      </c>
      <c r="G194" s="178"/>
      <c r="H194" s="178"/>
      <c r="I194" s="178">
        <v>1</v>
      </c>
      <c r="J194" s="215">
        <v>0.5175</v>
      </c>
    </row>
    <row r="195" spans="1:10">
      <c r="A195" s="176"/>
      <c r="B195" s="178"/>
      <c r="C195" s="178" t="s">
        <v>217</v>
      </c>
      <c r="D195" s="178" t="s">
        <v>32</v>
      </c>
      <c r="E195" s="178" t="s">
        <v>115</v>
      </c>
      <c r="F195" s="178" t="s">
        <v>273</v>
      </c>
      <c r="G195" s="178"/>
      <c r="H195" s="178"/>
      <c r="I195" s="178">
        <v>1</v>
      </c>
      <c r="J195" s="215">
        <v>0.448</v>
      </c>
    </row>
    <row r="196" spans="1:10">
      <c r="A196" s="176"/>
      <c r="B196" s="178"/>
      <c r="C196" s="178" t="s">
        <v>114</v>
      </c>
      <c r="D196" s="178" t="s">
        <v>32</v>
      </c>
      <c r="E196" s="178" t="s">
        <v>115</v>
      </c>
      <c r="F196" s="178" t="s">
        <v>276</v>
      </c>
      <c r="G196" s="178"/>
      <c r="H196" s="178"/>
      <c r="I196" s="178">
        <v>1</v>
      </c>
      <c r="J196" s="215">
        <v>0.1831</v>
      </c>
    </row>
    <row r="197" spans="1:10">
      <c r="A197" s="176"/>
      <c r="B197" s="178"/>
      <c r="C197" s="178" t="s">
        <v>220</v>
      </c>
      <c r="D197" s="178" t="s">
        <v>32</v>
      </c>
      <c r="E197" s="178" t="s">
        <v>115</v>
      </c>
      <c r="F197" s="178" t="s">
        <v>273</v>
      </c>
      <c r="G197" s="178"/>
      <c r="H197" s="178"/>
      <c r="I197" s="178">
        <v>1</v>
      </c>
      <c r="J197" s="215">
        <v>0.448</v>
      </c>
    </row>
    <row r="198" spans="1:10">
      <c r="A198" s="176"/>
      <c r="B198" s="178"/>
      <c r="C198" s="178" t="s">
        <v>223</v>
      </c>
      <c r="D198" s="178" t="s">
        <v>32</v>
      </c>
      <c r="E198" s="178" t="s">
        <v>115</v>
      </c>
      <c r="F198" s="178" t="s">
        <v>277</v>
      </c>
      <c r="G198" s="178"/>
      <c r="H198" s="178"/>
      <c r="I198" s="178">
        <v>1</v>
      </c>
      <c r="J198" s="215">
        <v>0.8184</v>
      </c>
    </row>
    <row r="199" spans="1:10">
      <c r="A199" s="176"/>
      <c r="B199" s="178"/>
      <c r="C199" s="178" t="s">
        <v>223</v>
      </c>
      <c r="D199" s="178" t="s">
        <v>32</v>
      </c>
      <c r="E199" s="178" t="s">
        <v>111</v>
      </c>
      <c r="F199" s="178" t="s">
        <v>278</v>
      </c>
      <c r="G199" s="178"/>
      <c r="H199" s="178"/>
      <c r="I199" s="178">
        <v>1</v>
      </c>
      <c r="J199" s="215">
        <v>0.1162</v>
      </c>
    </row>
    <row r="200" spans="1:10">
      <c r="A200" s="176"/>
      <c r="B200" s="178"/>
      <c r="C200" s="178" t="s">
        <v>110</v>
      </c>
      <c r="D200" s="178" t="s">
        <v>32</v>
      </c>
      <c r="E200" s="178" t="s">
        <v>111</v>
      </c>
      <c r="F200" s="178" t="s">
        <v>279</v>
      </c>
      <c r="G200" s="178"/>
      <c r="H200" s="178"/>
      <c r="I200" s="178">
        <v>1</v>
      </c>
      <c r="J200" s="215">
        <v>0.09</v>
      </c>
    </row>
    <row r="201" spans="1:10">
      <c r="A201" s="176"/>
      <c r="B201" s="178"/>
      <c r="C201" s="178" t="s">
        <v>145</v>
      </c>
      <c r="D201" s="178" t="s">
        <v>32</v>
      </c>
      <c r="E201" s="178" t="s">
        <v>111</v>
      </c>
      <c r="F201" s="178" t="s">
        <v>280</v>
      </c>
      <c r="G201" s="178"/>
      <c r="H201" s="178"/>
      <c r="I201" s="178">
        <v>1</v>
      </c>
      <c r="J201" s="215">
        <v>0.1233</v>
      </c>
    </row>
    <row r="202" spans="1:10">
      <c r="A202" s="176"/>
      <c r="B202" s="178"/>
      <c r="C202" s="178" t="s">
        <v>146</v>
      </c>
      <c r="D202" s="178" t="s">
        <v>32</v>
      </c>
      <c r="E202" s="178" t="s">
        <v>115</v>
      </c>
      <c r="F202" s="178" t="s">
        <v>281</v>
      </c>
      <c r="G202" s="178"/>
      <c r="H202" s="178"/>
      <c r="I202" s="178">
        <v>1</v>
      </c>
      <c r="J202" s="215">
        <v>0.0658</v>
      </c>
    </row>
    <row r="203" spans="1:10">
      <c r="A203" s="176"/>
      <c r="B203" s="178"/>
      <c r="C203" s="178" t="s">
        <v>114</v>
      </c>
      <c r="D203" s="178" t="s">
        <v>32</v>
      </c>
      <c r="E203" s="178" t="s">
        <v>115</v>
      </c>
      <c r="F203" s="178" t="s">
        <v>282</v>
      </c>
      <c r="G203" s="178"/>
      <c r="H203" s="178"/>
      <c r="I203" s="178">
        <v>1</v>
      </c>
      <c r="J203" s="215">
        <v>0.465</v>
      </c>
    </row>
    <row r="204" spans="1:10">
      <c r="A204" s="176"/>
      <c r="B204" s="178"/>
      <c r="C204" s="178" t="s">
        <v>139</v>
      </c>
      <c r="D204" s="178" t="s">
        <v>32</v>
      </c>
      <c r="E204" s="178" t="s">
        <v>115</v>
      </c>
      <c r="F204" s="178" t="s">
        <v>283</v>
      </c>
      <c r="G204" s="178"/>
      <c r="H204" s="178"/>
      <c r="I204" s="178">
        <v>1</v>
      </c>
      <c r="J204" s="215">
        <v>0.2325</v>
      </c>
    </row>
    <row r="205" spans="1:10">
      <c r="A205" s="176"/>
      <c r="B205" s="178"/>
      <c r="C205" s="178" t="s">
        <v>114</v>
      </c>
      <c r="D205" s="178" t="s">
        <v>32</v>
      </c>
      <c r="E205" s="178" t="s">
        <v>115</v>
      </c>
      <c r="F205" s="178" t="s">
        <v>284</v>
      </c>
      <c r="G205" s="178"/>
      <c r="H205" s="178"/>
      <c r="I205" s="178">
        <v>1</v>
      </c>
      <c r="J205" s="215">
        <v>0.6975</v>
      </c>
    </row>
    <row r="206" spans="1:10">
      <c r="A206" s="176"/>
      <c r="B206" s="178"/>
      <c r="C206" s="178" t="s">
        <v>110</v>
      </c>
      <c r="D206" s="178" t="s">
        <v>32</v>
      </c>
      <c r="E206" s="178" t="s">
        <v>115</v>
      </c>
      <c r="F206" s="178" t="s">
        <v>283</v>
      </c>
      <c r="G206" s="178"/>
      <c r="H206" s="178"/>
      <c r="I206" s="178">
        <v>1</v>
      </c>
      <c r="J206" s="215">
        <v>0.2325</v>
      </c>
    </row>
    <row r="207" spans="1:10">
      <c r="A207" s="176"/>
      <c r="B207" s="178"/>
      <c r="C207" s="178" t="s">
        <v>31</v>
      </c>
      <c r="D207" s="178" t="s">
        <v>32</v>
      </c>
      <c r="E207" s="178" t="s">
        <v>111</v>
      </c>
      <c r="F207" s="178" t="s">
        <v>285</v>
      </c>
      <c r="G207" s="178"/>
      <c r="H207" s="178"/>
      <c r="I207" s="178">
        <v>1</v>
      </c>
      <c r="J207" s="215">
        <v>0.2382</v>
      </c>
    </row>
    <row r="208" spans="1:10">
      <c r="A208" s="176"/>
      <c r="B208" s="178"/>
      <c r="C208" s="178" t="s">
        <v>35</v>
      </c>
      <c r="D208" s="178" t="s">
        <v>32</v>
      </c>
      <c r="E208" s="178" t="s">
        <v>111</v>
      </c>
      <c r="F208" s="178" t="s">
        <v>285</v>
      </c>
      <c r="G208" s="178"/>
      <c r="H208" s="178"/>
      <c r="I208" s="178">
        <v>1</v>
      </c>
      <c r="J208" s="215">
        <v>0.2382</v>
      </c>
    </row>
    <row r="209" spans="1:10">
      <c r="A209" s="176"/>
      <c r="B209" s="178"/>
      <c r="C209" s="178" t="s">
        <v>31</v>
      </c>
      <c r="D209" s="178" t="s">
        <v>32</v>
      </c>
      <c r="E209" s="178" t="s">
        <v>111</v>
      </c>
      <c r="F209" s="178" t="s">
        <v>286</v>
      </c>
      <c r="G209" s="178"/>
      <c r="H209" s="178"/>
      <c r="I209" s="178">
        <v>1</v>
      </c>
      <c r="J209" s="215">
        <v>0.6631</v>
      </c>
    </row>
    <row r="210" spans="1:10">
      <c r="A210" s="176"/>
      <c r="B210" s="178"/>
      <c r="C210" s="178" t="s">
        <v>35</v>
      </c>
      <c r="D210" s="178" t="s">
        <v>32</v>
      </c>
      <c r="E210" s="178" t="s">
        <v>111</v>
      </c>
      <c r="F210" s="178" t="s">
        <v>286</v>
      </c>
      <c r="G210" s="178"/>
      <c r="H210" s="178"/>
      <c r="I210" s="178">
        <v>1</v>
      </c>
      <c r="J210" s="215">
        <v>0.6631</v>
      </c>
    </row>
    <row r="211" spans="1:10">
      <c r="A211" s="176"/>
      <c r="B211" s="178"/>
      <c r="C211" s="178" t="s">
        <v>47</v>
      </c>
      <c r="D211" s="178" t="s">
        <v>570</v>
      </c>
      <c r="E211" s="178" t="s">
        <v>48</v>
      </c>
      <c r="F211" s="178" t="s">
        <v>49</v>
      </c>
      <c r="G211" s="178"/>
      <c r="H211" s="178"/>
      <c r="I211" s="178">
        <v>60</v>
      </c>
      <c r="J211" s="180" t="s">
        <v>4</v>
      </c>
    </row>
    <row r="212" spans="1:10">
      <c r="A212" s="176"/>
      <c r="B212" s="178"/>
      <c r="C212" s="178" t="s">
        <v>59</v>
      </c>
      <c r="D212" s="178" t="s">
        <v>570</v>
      </c>
      <c r="E212" s="178" t="s">
        <v>48</v>
      </c>
      <c r="F212" s="178" t="s">
        <v>60</v>
      </c>
      <c r="G212" s="178"/>
      <c r="H212" s="178"/>
      <c r="I212" s="178">
        <v>12</v>
      </c>
      <c r="J212" s="180" t="s">
        <v>4</v>
      </c>
    </row>
    <row r="213" spans="1:10">
      <c r="A213" s="176"/>
      <c r="B213" s="178"/>
      <c r="C213" s="178" t="s">
        <v>55</v>
      </c>
      <c r="D213" s="178" t="s">
        <v>570</v>
      </c>
      <c r="E213" s="178" t="s">
        <v>56</v>
      </c>
      <c r="F213" s="178" t="s">
        <v>65</v>
      </c>
      <c r="G213" s="178"/>
      <c r="H213" s="178"/>
      <c r="I213" s="178">
        <v>6</v>
      </c>
      <c r="J213" s="180" t="s">
        <v>4</v>
      </c>
    </row>
    <row r="214" spans="1:10">
      <c r="A214" s="176"/>
      <c r="B214" s="178"/>
      <c r="C214" s="178" t="s">
        <v>151</v>
      </c>
      <c r="D214" s="178" t="s">
        <v>570</v>
      </c>
      <c r="E214" s="178" t="s">
        <v>56</v>
      </c>
      <c r="F214" s="178" t="s">
        <v>152</v>
      </c>
      <c r="G214" s="178"/>
      <c r="H214" s="178"/>
      <c r="I214" s="178">
        <v>4</v>
      </c>
      <c r="J214" s="180" t="s">
        <v>4</v>
      </c>
    </row>
    <row r="215" ht="14.25" spans="1:10">
      <c r="A215" s="212"/>
      <c r="B215" s="213"/>
      <c r="C215" s="213" t="s">
        <v>55</v>
      </c>
      <c r="D215" s="213" t="s">
        <v>570</v>
      </c>
      <c r="E215" s="213" t="s">
        <v>56</v>
      </c>
      <c r="F215" s="213" t="s">
        <v>57</v>
      </c>
      <c r="G215" s="213"/>
      <c r="H215" s="213"/>
      <c r="I215" s="213">
        <v>6</v>
      </c>
      <c r="J215" s="216" t="s">
        <v>4</v>
      </c>
    </row>
    <row r="217" spans="1:10">
      <c r="A217" s="63" t="s">
        <v>17</v>
      </c>
      <c r="B217" s="64" t="s">
        <v>18</v>
      </c>
      <c r="C217" s="64" t="s">
        <v>105</v>
      </c>
      <c r="D217" s="64" t="s">
        <v>45</v>
      </c>
      <c r="E217" s="64" t="s">
        <v>21</v>
      </c>
      <c r="F217" s="206" t="s">
        <v>46</v>
      </c>
      <c r="G217" s="207"/>
      <c r="H217" s="208"/>
      <c r="I217" s="64" t="s">
        <v>24</v>
      </c>
      <c r="J217" s="50" t="s">
        <v>550</v>
      </c>
    </row>
    <row r="218" ht="14.25" spans="1:10">
      <c r="A218" s="63"/>
      <c r="B218" s="64"/>
      <c r="C218" s="64"/>
      <c r="D218" s="64"/>
      <c r="E218" s="64"/>
      <c r="F218" s="49"/>
      <c r="G218" s="209"/>
      <c r="H218" s="210"/>
      <c r="I218" s="64"/>
      <c r="J218" s="50"/>
    </row>
    <row r="219" spans="1:10">
      <c r="A219" s="171" t="s">
        <v>108</v>
      </c>
      <c r="B219" s="211" t="s">
        <v>288</v>
      </c>
      <c r="C219" s="173" t="s">
        <v>117</v>
      </c>
      <c r="D219" s="173" t="s">
        <v>32</v>
      </c>
      <c r="E219" s="173" t="s">
        <v>115</v>
      </c>
      <c r="F219" s="173" t="s">
        <v>289</v>
      </c>
      <c r="G219" s="173"/>
      <c r="H219" s="173"/>
      <c r="I219" s="173">
        <v>1</v>
      </c>
      <c r="J219" s="214">
        <v>0.636</v>
      </c>
    </row>
    <row r="220" spans="1:10">
      <c r="A220" s="176"/>
      <c r="B220" s="178"/>
      <c r="C220" s="178" t="s">
        <v>131</v>
      </c>
      <c r="D220" s="178" t="s">
        <v>32</v>
      </c>
      <c r="E220" s="178" t="s">
        <v>111</v>
      </c>
      <c r="F220" s="178" t="s">
        <v>290</v>
      </c>
      <c r="G220" s="178"/>
      <c r="H220" s="178"/>
      <c r="I220" s="178">
        <v>1</v>
      </c>
      <c r="J220" s="215">
        <v>0.009</v>
      </c>
    </row>
    <row r="221" spans="1:10">
      <c r="A221" s="176"/>
      <c r="B221" s="178"/>
      <c r="C221" s="178" t="s">
        <v>110</v>
      </c>
      <c r="D221" s="178" t="s">
        <v>32</v>
      </c>
      <c r="E221" s="178" t="s">
        <v>115</v>
      </c>
      <c r="F221" s="178" t="s">
        <v>291</v>
      </c>
      <c r="G221" s="178"/>
      <c r="H221" s="178"/>
      <c r="I221" s="178">
        <v>1</v>
      </c>
      <c r="J221" s="215">
        <v>0.0591</v>
      </c>
    </row>
    <row r="222" spans="1:10">
      <c r="A222" s="176"/>
      <c r="B222" s="178"/>
      <c r="C222" s="178" t="s">
        <v>119</v>
      </c>
      <c r="D222" s="178" t="s">
        <v>32</v>
      </c>
      <c r="E222" s="178" t="s">
        <v>111</v>
      </c>
      <c r="F222" s="178" t="s">
        <v>292</v>
      </c>
      <c r="G222" s="178"/>
      <c r="H222" s="178"/>
      <c r="I222" s="178">
        <v>1</v>
      </c>
      <c r="J222" s="215">
        <v>0.0821</v>
      </c>
    </row>
    <row r="223" spans="1:10">
      <c r="A223" s="176"/>
      <c r="B223" s="178"/>
      <c r="C223" s="178" t="s">
        <v>121</v>
      </c>
      <c r="D223" s="178" t="s">
        <v>32</v>
      </c>
      <c r="E223" s="178" t="s">
        <v>115</v>
      </c>
      <c r="F223" s="178" t="s">
        <v>293</v>
      </c>
      <c r="G223" s="178"/>
      <c r="H223" s="178"/>
      <c r="I223" s="178">
        <v>1</v>
      </c>
      <c r="J223" s="215">
        <v>0.0491</v>
      </c>
    </row>
    <row r="224" spans="1:10">
      <c r="A224" s="176"/>
      <c r="B224" s="178"/>
      <c r="C224" s="178" t="s">
        <v>123</v>
      </c>
      <c r="D224" s="178" t="s">
        <v>32</v>
      </c>
      <c r="E224" s="178" t="s">
        <v>115</v>
      </c>
      <c r="F224" s="178" t="s">
        <v>293</v>
      </c>
      <c r="G224" s="178"/>
      <c r="H224" s="178"/>
      <c r="I224" s="178">
        <v>1</v>
      </c>
      <c r="J224" s="215">
        <v>0.0491</v>
      </c>
    </row>
    <row r="225" spans="1:10">
      <c r="A225" s="176"/>
      <c r="B225" s="178"/>
      <c r="C225" s="178" t="s">
        <v>124</v>
      </c>
      <c r="D225" s="178" t="s">
        <v>32</v>
      </c>
      <c r="E225" s="178" t="s">
        <v>115</v>
      </c>
      <c r="F225" s="178" t="s">
        <v>294</v>
      </c>
      <c r="G225" s="178"/>
      <c r="H225" s="178"/>
      <c r="I225" s="178">
        <v>2</v>
      </c>
      <c r="J225" s="215">
        <v>0.091</v>
      </c>
    </row>
    <row r="226" spans="1:10">
      <c r="A226" s="176"/>
      <c r="B226" s="178"/>
      <c r="C226" s="178" t="s">
        <v>126</v>
      </c>
      <c r="D226" s="178" t="s">
        <v>32</v>
      </c>
      <c r="E226" s="178" t="s">
        <v>115</v>
      </c>
      <c r="F226" s="178" t="s">
        <v>294</v>
      </c>
      <c r="G226" s="178"/>
      <c r="H226" s="178"/>
      <c r="I226" s="178">
        <v>2</v>
      </c>
      <c r="J226" s="215">
        <v>0.091</v>
      </c>
    </row>
    <row r="227" spans="1:10">
      <c r="A227" s="176"/>
      <c r="B227" s="178"/>
      <c r="C227" s="178" t="s">
        <v>127</v>
      </c>
      <c r="D227" s="178" t="s">
        <v>32</v>
      </c>
      <c r="E227" s="178" t="s">
        <v>115</v>
      </c>
      <c r="F227" s="178" t="s">
        <v>295</v>
      </c>
      <c r="G227" s="178"/>
      <c r="H227" s="178"/>
      <c r="I227" s="178">
        <v>1</v>
      </c>
      <c r="J227" s="215">
        <v>0.1257</v>
      </c>
    </row>
    <row r="228" spans="1:10">
      <c r="A228" s="176"/>
      <c r="B228" s="178"/>
      <c r="C228" s="178" t="s">
        <v>221</v>
      </c>
      <c r="D228" s="178" t="s">
        <v>32</v>
      </c>
      <c r="E228" s="178" t="s">
        <v>115</v>
      </c>
      <c r="F228" s="178" t="s">
        <v>291</v>
      </c>
      <c r="G228" s="178"/>
      <c r="H228" s="178"/>
      <c r="I228" s="178">
        <v>2</v>
      </c>
      <c r="J228" s="215">
        <v>0.1183</v>
      </c>
    </row>
    <row r="229" spans="1:10">
      <c r="A229" s="176"/>
      <c r="B229" s="178"/>
      <c r="C229" s="178" t="s">
        <v>119</v>
      </c>
      <c r="D229" s="178" t="s">
        <v>32</v>
      </c>
      <c r="E229" s="178" t="s">
        <v>111</v>
      </c>
      <c r="F229" s="178" t="s">
        <v>296</v>
      </c>
      <c r="G229" s="178"/>
      <c r="H229" s="178"/>
      <c r="I229" s="178">
        <v>1</v>
      </c>
      <c r="J229" s="215">
        <v>0.0823</v>
      </c>
    </row>
    <row r="230" spans="1:10">
      <c r="A230" s="176"/>
      <c r="B230" s="178"/>
      <c r="C230" s="178" t="s">
        <v>121</v>
      </c>
      <c r="D230" s="178" t="s">
        <v>32</v>
      </c>
      <c r="E230" s="178" t="s">
        <v>115</v>
      </c>
      <c r="F230" s="178" t="s">
        <v>297</v>
      </c>
      <c r="G230" s="178"/>
      <c r="H230" s="178"/>
      <c r="I230" s="178">
        <v>1</v>
      </c>
      <c r="J230" s="215">
        <v>0.0493</v>
      </c>
    </row>
    <row r="231" spans="1:10">
      <c r="A231" s="176"/>
      <c r="B231" s="178"/>
      <c r="C231" s="178" t="s">
        <v>123</v>
      </c>
      <c r="D231" s="178" t="s">
        <v>32</v>
      </c>
      <c r="E231" s="178" t="s">
        <v>115</v>
      </c>
      <c r="F231" s="178" t="s">
        <v>297</v>
      </c>
      <c r="G231" s="178"/>
      <c r="H231" s="178"/>
      <c r="I231" s="178">
        <v>1</v>
      </c>
      <c r="J231" s="215">
        <v>0.0493</v>
      </c>
    </row>
    <row r="232" spans="1:10">
      <c r="A232" s="176"/>
      <c r="B232" s="178"/>
      <c r="C232" s="178" t="s">
        <v>127</v>
      </c>
      <c r="D232" s="178" t="s">
        <v>32</v>
      </c>
      <c r="E232" s="178" t="s">
        <v>115</v>
      </c>
      <c r="F232" s="178" t="s">
        <v>298</v>
      </c>
      <c r="G232" s="178"/>
      <c r="H232" s="178"/>
      <c r="I232" s="178">
        <v>1</v>
      </c>
      <c r="J232" s="215">
        <v>0.126</v>
      </c>
    </row>
    <row r="233" spans="1:10">
      <c r="A233" s="176"/>
      <c r="B233" s="178"/>
      <c r="C233" s="178" t="s">
        <v>131</v>
      </c>
      <c r="D233" s="178" t="s">
        <v>32</v>
      </c>
      <c r="E233" s="178" t="s">
        <v>111</v>
      </c>
      <c r="F233" s="178" t="s">
        <v>299</v>
      </c>
      <c r="G233" s="178"/>
      <c r="H233" s="178"/>
      <c r="I233" s="178">
        <v>1</v>
      </c>
      <c r="J233" s="215">
        <v>0.117</v>
      </c>
    </row>
    <row r="234" spans="1:10">
      <c r="A234" s="176"/>
      <c r="B234" s="178"/>
      <c r="C234" s="178" t="s">
        <v>223</v>
      </c>
      <c r="D234" s="178" t="s">
        <v>32</v>
      </c>
      <c r="E234" s="178" t="s">
        <v>115</v>
      </c>
      <c r="F234" s="178" t="s">
        <v>291</v>
      </c>
      <c r="G234" s="178"/>
      <c r="H234" s="178"/>
      <c r="I234" s="178">
        <v>1</v>
      </c>
      <c r="J234" s="215">
        <v>0.0591</v>
      </c>
    </row>
    <row r="235" spans="1:10">
      <c r="A235" s="176"/>
      <c r="B235" s="178"/>
      <c r="C235" s="178" t="s">
        <v>114</v>
      </c>
      <c r="D235" s="178" t="s">
        <v>32</v>
      </c>
      <c r="E235" s="178" t="s">
        <v>115</v>
      </c>
      <c r="F235" s="178" t="s">
        <v>300</v>
      </c>
      <c r="G235" s="178"/>
      <c r="H235" s="178"/>
      <c r="I235" s="178">
        <v>1</v>
      </c>
      <c r="J235" s="215">
        <v>1.2459</v>
      </c>
    </row>
    <row r="236" spans="1:10">
      <c r="A236" s="176"/>
      <c r="B236" s="178"/>
      <c r="C236" s="178" t="s">
        <v>142</v>
      </c>
      <c r="D236" s="178" t="s">
        <v>32</v>
      </c>
      <c r="E236" s="178" t="s">
        <v>115</v>
      </c>
      <c r="F236" s="178" t="s">
        <v>301</v>
      </c>
      <c r="G236" s="178"/>
      <c r="H236" s="178"/>
      <c r="I236" s="178">
        <v>1</v>
      </c>
      <c r="J236" s="215">
        <v>0.932</v>
      </c>
    </row>
    <row r="237" spans="1:10">
      <c r="A237" s="176"/>
      <c r="B237" s="178"/>
      <c r="C237" s="178" t="s">
        <v>114</v>
      </c>
      <c r="D237" s="178" t="s">
        <v>32</v>
      </c>
      <c r="E237" s="178" t="s">
        <v>115</v>
      </c>
      <c r="F237" s="178" t="s">
        <v>302</v>
      </c>
      <c r="G237" s="178"/>
      <c r="H237" s="178"/>
      <c r="I237" s="178">
        <v>1</v>
      </c>
      <c r="J237" s="215">
        <v>0.1962</v>
      </c>
    </row>
    <row r="238" spans="1:10">
      <c r="A238" s="176"/>
      <c r="B238" s="178"/>
      <c r="C238" s="178" t="s">
        <v>47</v>
      </c>
      <c r="D238" s="178" t="s">
        <v>570</v>
      </c>
      <c r="E238" s="178" t="s">
        <v>48</v>
      </c>
      <c r="F238" s="178" t="s">
        <v>49</v>
      </c>
      <c r="G238" s="178"/>
      <c r="H238" s="178"/>
      <c r="I238" s="178">
        <v>63</v>
      </c>
      <c r="J238" s="180" t="s">
        <v>4</v>
      </c>
    </row>
    <row r="239" spans="1:10">
      <c r="A239" s="176"/>
      <c r="B239" s="178"/>
      <c r="C239" s="178" t="s">
        <v>53</v>
      </c>
      <c r="D239" s="178" t="s">
        <v>570</v>
      </c>
      <c r="E239" s="178" t="s">
        <v>48</v>
      </c>
      <c r="F239" s="178" t="s">
        <v>66</v>
      </c>
      <c r="G239" s="178"/>
      <c r="H239" s="178"/>
      <c r="I239" s="178">
        <v>2</v>
      </c>
      <c r="J239" s="180" t="s">
        <v>4</v>
      </c>
    </row>
    <row r="240" ht="14.25" spans="1:10">
      <c r="A240" s="212"/>
      <c r="B240" s="213"/>
      <c r="C240" s="213" t="s">
        <v>151</v>
      </c>
      <c r="D240" s="213" t="s">
        <v>570</v>
      </c>
      <c r="E240" s="213" t="s">
        <v>56</v>
      </c>
      <c r="F240" s="213" t="s">
        <v>152</v>
      </c>
      <c r="G240" s="213"/>
      <c r="H240" s="213"/>
      <c r="I240" s="213">
        <v>2</v>
      </c>
      <c r="J240" s="216" t="s">
        <v>4</v>
      </c>
    </row>
    <row r="242" spans="1:10">
      <c r="A242" s="63" t="s">
        <v>17</v>
      </c>
      <c r="B242" s="64" t="s">
        <v>18</v>
      </c>
      <c r="C242" s="64" t="s">
        <v>105</v>
      </c>
      <c r="D242" s="64" t="s">
        <v>45</v>
      </c>
      <c r="E242" s="64" t="s">
        <v>21</v>
      </c>
      <c r="F242" s="206" t="s">
        <v>46</v>
      </c>
      <c r="G242" s="207"/>
      <c r="H242" s="208"/>
      <c r="I242" s="64" t="s">
        <v>24</v>
      </c>
      <c r="J242" s="50" t="s">
        <v>550</v>
      </c>
    </row>
    <row r="243" ht="14.25" spans="1:10">
      <c r="A243" s="63"/>
      <c r="B243" s="64"/>
      <c r="C243" s="64"/>
      <c r="D243" s="64"/>
      <c r="E243" s="64"/>
      <c r="F243" s="49"/>
      <c r="G243" s="209"/>
      <c r="H243" s="210"/>
      <c r="I243" s="64"/>
      <c r="J243" s="50"/>
    </row>
    <row r="244" spans="1:10">
      <c r="A244" s="171" t="s">
        <v>154</v>
      </c>
      <c r="B244" s="211" t="s">
        <v>304</v>
      </c>
      <c r="C244" s="173" t="s">
        <v>110</v>
      </c>
      <c r="D244" s="173" t="s">
        <v>32</v>
      </c>
      <c r="E244" s="173" t="s">
        <v>111</v>
      </c>
      <c r="F244" s="173" t="s">
        <v>305</v>
      </c>
      <c r="G244" s="173"/>
      <c r="H244" s="173"/>
      <c r="I244" s="173">
        <v>1</v>
      </c>
      <c r="J244" s="214">
        <v>1.2972</v>
      </c>
    </row>
    <row r="245" spans="1:10">
      <c r="A245" s="176"/>
      <c r="B245" s="178"/>
      <c r="C245" s="178" t="s">
        <v>110</v>
      </c>
      <c r="D245" s="178" t="s">
        <v>32</v>
      </c>
      <c r="E245" s="178" t="s">
        <v>115</v>
      </c>
      <c r="F245" s="178" t="s">
        <v>306</v>
      </c>
      <c r="G245" s="178"/>
      <c r="H245" s="178"/>
      <c r="I245" s="178">
        <v>1</v>
      </c>
      <c r="J245" s="215">
        <v>1.225</v>
      </c>
    </row>
    <row r="246" spans="1:10">
      <c r="A246" s="176"/>
      <c r="B246" s="178"/>
      <c r="C246" s="178" t="s">
        <v>199</v>
      </c>
      <c r="D246" s="178" t="s">
        <v>32</v>
      </c>
      <c r="E246" s="178" t="s">
        <v>115</v>
      </c>
      <c r="F246" s="178" t="s">
        <v>307</v>
      </c>
      <c r="G246" s="178"/>
      <c r="H246" s="178"/>
      <c r="I246" s="178">
        <v>2</v>
      </c>
      <c r="J246" s="215">
        <v>0.0466</v>
      </c>
    </row>
    <row r="247" spans="1:10">
      <c r="A247" s="176"/>
      <c r="B247" s="178"/>
      <c r="C247" s="178" t="s">
        <v>117</v>
      </c>
      <c r="D247" s="178" t="s">
        <v>32</v>
      </c>
      <c r="E247" s="178" t="s">
        <v>115</v>
      </c>
      <c r="F247" s="178" t="s">
        <v>308</v>
      </c>
      <c r="G247" s="178"/>
      <c r="H247" s="178"/>
      <c r="I247" s="178">
        <v>1</v>
      </c>
      <c r="J247" s="215">
        <v>0.225</v>
      </c>
    </row>
    <row r="248" spans="1:10">
      <c r="A248" s="176"/>
      <c r="B248" s="178"/>
      <c r="C248" s="178" t="s">
        <v>119</v>
      </c>
      <c r="D248" s="178" t="s">
        <v>32</v>
      </c>
      <c r="E248" s="178" t="s">
        <v>111</v>
      </c>
      <c r="F248" s="178" t="s">
        <v>309</v>
      </c>
      <c r="G248" s="178"/>
      <c r="H248" s="178"/>
      <c r="I248" s="178">
        <v>1</v>
      </c>
      <c r="J248" s="215">
        <v>0.1596</v>
      </c>
    </row>
    <row r="249" spans="1:10">
      <c r="A249" s="176"/>
      <c r="B249" s="178"/>
      <c r="C249" s="178" t="s">
        <v>121</v>
      </c>
      <c r="D249" s="178" t="s">
        <v>32</v>
      </c>
      <c r="E249" s="178" t="s">
        <v>115</v>
      </c>
      <c r="F249" s="178" t="s">
        <v>310</v>
      </c>
      <c r="G249" s="178"/>
      <c r="H249" s="178"/>
      <c r="I249" s="178">
        <v>1</v>
      </c>
      <c r="J249" s="215">
        <v>0.0815</v>
      </c>
    </row>
    <row r="250" spans="1:10">
      <c r="A250" s="176"/>
      <c r="B250" s="178"/>
      <c r="C250" s="178" t="s">
        <v>123</v>
      </c>
      <c r="D250" s="178" t="s">
        <v>32</v>
      </c>
      <c r="E250" s="178" t="s">
        <v>115</v>
      </c>
      <c r="F250" s="178" t="s">
        <v>310</v>
      </c>
      <c r="G250" s="178"/>
      <c r="H250" s="178"/>
      <c r="I250" s="178">
        <v>1</v>
      </c>
      <c r="J250" s="215">
        <v>0.0815</v>
      </c>
    </row>
    <row r="251" spans="1:10">
      <c r="A251" s="176"/>
      <c r="B251" s="178"/>
      <c r="C251" s="178" t="s">
        <v>124</v>
      </c>
      <c r="D251" s="178" t="s">
        <v>32</v>
      </c>
      <c r="E251" s="178" t="s">
        <v>115</v>
      </c>
      <c r="F251" s="178" t="s">
        <v>311</v>
      </c>
      <c r="G251" s="178"/>
      <c r="H251" s="178"/>
      <c r="I251" s="178">
        <v>1</v>
      </c>
      <c r="J251" s="215">
        <v>0.125</v>
      </c>
    </row>
    <row r="252" spans="1:10">
      <c r="A252" s="176"/>
      <c r="B252" s="178"/>
      <c r="C252" s="178" t="s">
        <v>126</v>
      </c>
      <c r="D252" s="178" t="s">
        <v>32</v>
      </c>
      <c r="E252" s="178" t="s">
        <v>115</v>
      </c>
      <c r="F252" s="178" t="s">
        <v>311</v>
      </c>
      <c r="G252" s="178"/>
      <c r="H252" s="178"/>
      <c r="I252" s="178">
        <v>1</v>
      </c>
      <c r="J252" s="215">
        <v>0.125</v>
      </c>
    </row>
    <row r="253" spans="1:10">
      <c r="A253" s="176"/>
      <c r="B253" s="178"/>
      <c r="C253" s="178" t="s">
        <v>127</v>
      </c>
      <c r="D253" s="178" t="s">
        <v>32</v>
      </c>
      <c r="E253" s="178" t="s">
        <v>115</v>
      </c>
      <c r="F253" s="178" t="s">
        <v>312</v>
      </c>
      <c r="G253" s="178"/>
      <c r="H253" s="178"/>
      <c r="I253" s="178">
        <v>3</v>
      </c>
      <c r="J253" s="215">
        <v>0.4778</v>
      </c>
    </row>
    <row r="254" spans="1:10">
      <c r="A254" s="176"/>
      <c r="B254" s="178"/>
      <c r="C254" s="178" t="s">
        <v>129</v>
      </c>
      <c r="D254" s="178" t="s">
        <v>32</v>
      </c>
      <c r="E254" s="178" t="s">
        <v>115</v>
      </c>
      <c r="F254" s="178" t="s">
        <v>313</v>
      </c>
      <c r="G254" s="178"/>
      <c r="H254" s="178"/>
      <c r="I254" s="178">
        <v>2</v>
      </c>
      <c r="J254" s="215">
        <v>0.4276</v>
      </c>
    </row>
    <row r="255" spans="1:10">
      <c r="A255" s="176"/>
      <c r="B255" s="178"/>
      <c r="C255" s="178" t="s">
        <v>119</v>
      </c>
      <c r="D255" s="178" t="s">
        <v>32</v>
      </c>
      <c r="E255" s="178" t="s">
        <v>111</v>
      </c>
      <c r="F255" s="178" t="s">
        <v>314</v>
      </c>
      <c r="G255" s="178"/>
      <c r="H255" s="178"/>
      <c r="I255" s="178">
        <v>2</v>
      </c>
      <c r="J255" s="215">
        <v>0.149</v>
      </c>
    </row>
    <row r="256" spans="1:10">
      <c r="A256" s="176"/>
      <c r="B256" s="178"/>
      <c r="C256" s="178" t="s">
        <v>121</v>
      </c>
      <c r="D256" s="178" t="s">
        <v>32</v>
      </c>
      <c r="E256" s="178" t="s">
        <v>115</v>
      </c>
      <c r="F256" s="178" t="s">
        <v>315</v>
      </c>
      <c r="G256" s="178"/>
      <c r="H256" s="178"/>
      <c r="I256" s="178">
        <v>2</v>
      </c>
      <c r="J256" s="215">
        <v>0.0848</v>
      </c>
    </row>
    <row r="257" spans="1:10">
      <c r="A257" s="176"/>
      <c r="B257" s="178"/>
      <c r="C257" s="178" t="s">
        <v>123</v>
      </c>
      <c r="D257" s="178" t="s">
        <v>32</v>
      </c>
      <c r="E257" s="178" t="s">
        <v>115</v>
      </c>
      <c r="F257" s="178" t="s">
        <v>315</v>
      </c>
      <c r="G257" s="178"/>
      <c r="H257" s="178"/>
      <c r="I257" s="178">
        <v>2</v>
      </c>
      <c r="J257" s="215">
        <v>0.0848</v>
      </c>
    </row>
    <row r="258" spans="1:10">
      <c r="A258" s="176"/>
      <c r="B258" s="178"/>
      <c r="C258" s="178" t="s">
        <v>124</v>
      </c>
      <c r="D258" s="178" t="s">
        <v>32</v>
      </c>
      <c r="E258" s="178" t="s">
        <v>115</v>
      </c>
      <c r="F258" s="178" t="s">
        <v>316</v>
      </c>
      <c r="G258" s="178"/>
      <c r="H258" s="178"/>
      <c r="I258" s="178">
        <v>2</v>
      </c>
      <c r="J258" s="215">
        <v>0.13</v>
      </c>
    </row>
    <row r="259" spans="1:10">
      <c r="A259" s="176"/>
      <c r="B259" s="178"/>
      <c r="C259" s="178" t="s">
        <v>126</v>
      </c>
      <c r="D259" s="178" t="s">
        <v>32</v>
      </c>
      <c r="E259" s="178" t="s">
        <v>115</v>
      </c>
      <c r="F259" s="178" t="s">
        <v>316</v>
      </c>
      <c r="G259" s="178"/>
      <c r="H259" s="178"/>
      <c r="I259" s="178">
        <v>2</v>
      </c>
      <c r="J259" s="215">
        <v>0.13</v>
      </c>
    </row>
    <row r="260" spans="1:10">
      <c r="A260" s="176"/>
      <c r="B260" s="178"/>
      <c r="C260" s="178" t="s">
        <v>114</v>
      </c>
      <c r="D260" s="178" t="s">
        <v>32</v>
      </c>
      <c r="E260" s="178" t="s">
        <v>115</v>
      </c>
      <c r="F260" s="178" t="s">
        <v>317</v>
      </c>
      <c r="G260" s="178"/>
      <c r="H260" s="178"/>
      <c r="I260" s="178">
        <v>1</v>
      </c>
      <c r="J260" s="215">
        <v>0.2726</v>
      </c>
    </row>
    <row r="261" spans="1:10">
      <c r="A261" s="176"/>
      <c r="B261" s="178"/>
      <c r="C261" s="178" t="s">
        <v>129</v>
      </c>
      <c r="D261" s="178" t="s">
        <v>32</v>
      </c>
      <c r="E261" s="178" t="s">
        <v>115</v>
      </c>
      <c r="F261" s="178" t="s">
        <v>308</v>
      </c>
      <c r="G261" s="178"/>
      <c r="H261" s="178"/>
      <c r="I261" s="178">
        <v>1</v>
      </c>
      <c r="J261" s="215">
        <v>0.225</v>
      </c>
    </row>
    <row r="262" spans="1:10">
      <c r="A262" s="176"/>
      <c r="B262" s="178"/>
      <c r="C262" s="178" t="s">
        <v>114</v>
      </c>
      <c r="D262" s="178" t="s">
        <v>32</v>
      </c>
      <c r="E262" s="178" t="s">
        <v>115</v>
      </c>
      <c r="F262" s="178" t="s">
        <v>318</v>
      </c>
      <c r="G262" s="178"/>
      <c r="H262" s="178"/>
      <c r="I262" s="178">
        <v>3</v>
      </c>
      <c r="J262" s="215">
        <v>0.5242</v>
      </c>
    </row>
    <row r="263" spans="1:10">
      <c r="A263" s="176"/>
      <c r="B263" s="178"/>
      <c r="C263" s="178" t="s">
        <v>129</v>
      </c>
      <c r="D263" s="178" t="s">
        <v>32</v>
      </c>
      <c r="E263" s="178" t="s">
        <v>115</v>
      </c>
      <c r="F263" s="178" t="s">
        <v>319</v>
      </c>
      <c r="G263" s="178"/>
      <c r="H263" s="178"/>
      <c r="I263" s="178">
        <v>2</v>
      </c>
      <c r="J263" s="215">
        <v>0.4462</v>
      </c>
    </row>
    <row r="264" spans="1:10">
      <c r="A264" s="176"/>
      <c r="B264" s="178"/>
      <c r="C264" s="178" t="s">
        <v>142</v>
      </c>
      <c r="D264" s="178" t="s">
        <v>32</v>
      </c>
      <c r="E264" s="178" t="s">
        <v>115</v>
      </c>
      <c r="F264" s="178" t="s">
        <v>308</v>
      </c>
      <c r="G264" s="178"/>
      <c r="H264" s="178"/>
      <c r="I264" s="178">
        <v>1</v>
      </c>
      <c r="J264" s="215">
        <v>0.225</v>
      </c>
    </row>
    <row r="265" spans="1:10">
      <c r="A265" s="176"/>
      <c r="B265" s="178"/>
      <c r="C265" s="178" t="s">
        <v>145</v>
      </c>
      <c r="D265" s="178" t="s">
        <v>32</v>
      </c>
      <c r="E265" s="178" t="s">
        <v>115</v>
      </c>
      <c r="F265" s="178" t="s">
        <v>320</v>
      </c>
      <c r="G265" s="178"/>
      <c r="H265" s="178"/>
      <c r="I265" s="178">
        <v>1</v>
      </c>
      <c r="J265" s="215">
        <v>0.0212</v>
      </c>
    </row>
    <row r="266" spans="1:10">
      <c r="A266" s="176"/>
      <c r="B266" s="178"/>
      <c r="C266" s="178" t="s">
        <v>146</v>
      </c>
      <c r="D266" s="178" t="s">
        <v>32</v>
      </c>
      <c r="E266" s="178" t="s">
        <v>115</v>
      </c>
      <c r="F266" s="178" t="s">
        <v>321</v>
      </c>
      <c r="G266" s="178"/>
      <c r="H266" s="178"/>
      <c r="I266" s="178">
        <v>1</v>
      </c>
      <c r="J266" s="215">
        <v>0.0339</v>
      </c>
    </row>
    <row r="267" spans="1:10">
      <c r="A267" s="176"/>
      <c r="B267" s="178"/>
      <c r="C267" s="178" t="s">
        <v>223</v>
      </c>
      <c r="D267" s="178" t="s">
        <v>32</v>
      </c>
      <c r="E267" s="178" t="s">
        <v>115</v>
      </c>
      <c r="F267" s="178" t="s">
        <v>306</v>
      </c>
      <c r="G267" s="178"/>
      <c r="H267" s="178"/>
      <c r="I267" s="178">
        <v>1</v>
      </c>
      <c r="J267" s="215">
        <v>1.225</v>
      </c>
    </row>
    <row r="268" spans="1:10">
      <c r="A268" s="176"/>
      <c r="B268" s="178"/>
      <c r="C268" s="178" t="s">
        <v>31</v>
      </c>
      <c r="D268" s="178" t="s">
        <v>32</v>
      </c>
      <c r="E268" s="178" t="s">
        <v>33</v>
      </c>
      <c r="F268" s="178" t="s">
        <v>322</v>
      </c>
      <c r="G268" s="178"/>
      <c r="H268" s="178"/>
      <c r="I268" s="178">
        <v>1</v>
      </c>
      <c r="J268" s="215">
        <v>0.5839</v>
      </c>
    </row>
    <row r="269" spans="1:10">
      <c r="A269" s="176"/>
      <c r="B269" s="178"/>
      <c r="C269" s="178" t="s">
        <v>47</v>
      </c>
      <c r="D269" s="178" t="s">
        <v>570</v>
      </c>
      <c r="E269" s="178" t="s">
        <v>48</v>
      </c>
      <c r="F269" s="178" t="s">
        <v>49</v>
      </c>
      <c r="G269" s="178"/>
      <c r="H269" s="178"/>
      <c r="I269" s="178">
        <v>66</v>
      </c>
      <c r="J269" s="180" t="s">
        <v>4</v>
      </c>
    </row>
    <row r="270" spans="1:10">
      <c r="A270" s="176"/>
      <c r="B270" s="178"/>
      <c r="C270" s="178" t="s">
        <v>50</v>
      </c>
      <c r="D270" s="178" t="s">
        <v>570</v>
      </c>
      <c r="E270" s="178" t="s">
        <v>51</v>
      </c>
      <c r="F270" s="178" t="s">
        <v>67</v>
      </c>
      <c r="G270" s="178"/>
      <c r="H270" s="178"/>
      <c r="I270" s="178">
        <v>3</v>
      </c>
      <c r="J270" s="180" t="s">
        <v>4</v>
      </c>
    </row>
    <row r="271" spans="1:10">
      <c r="A271" s="176"/>
      <c r="B271" s="178"/>
      <c r="C271" s="178" t="s">
        <v>53</v>
      </c>
      <c r="D271" s="178" t="s">
        <v>570</v>
      </c>
      <c r="E271" s="178" t="s">
        <v>48</v>
      </c>
      <c r="F271" s="178" t="s">
        <v>68</v>
      </c>
      <c r="G271" s="178"/>
      <c r="H271" s="178"/>
      <c r="I271" s="178">
        <v>3</v>
      </c>
      <c r="J271" s="180" t="s">
        <v>4</v>
      </c>
    </row>
    <row r="272" spans="1:10">
      <c r="A272" s="176"/>
      <c r="B272" s="178"/>
      <c r="C272" s="178" t="s">
        <v>151</v>
      </c>
      <c r="D272" s="178" t="s">
        <v>570</v>
      </c>
      <c r="E272" s="178" t="s">
        <v>56</v>
      </c>
      <c r="F272" s="178" t="s">
        <v>152</v>
      </c>
      <c r="G272" s="178"/>
      <c r="H272" s="178"/>
      <c r="I272" s="178">
        <v>4</v>
      </c>
      <c r="J272" s="180" t="s">
        <v>4</v>
      </c>
    </row>
    <row r="273" ht="14.25" spans="1:10">
      <c r="A273" s="212"/>
      <c r="B273" s="213"/>
      <c r="C273" s="213" t="s">
        <v>55</v>
      </c>
      <c r="D273" s="213" t="s">
        <v>570</v>
      </c>
      <c r="E273" s="213" t="s">
        <v>56</v>
      </c>
      <c r="F273" s="213" t="s">
        <v>57</v>
      </c>
      <c r="G273" s="213"/>
      <c r="H273" s="213"/>
      <c r="I273" s="213">
        <v>3</v>
      </c>
      <c r="J273" s="216" t="s">
        <v>4</v>
      </c>
    </row>
    <row r="275" spans="1:10">
      <c r="A275" s="63" t="s">
        <v>17</v>
      </c>
      <c r="B275" s="64" t="s">
        <v>18</v>
      </c>
      <c r="C275" s="64" t="s">
        <v>105</v>
      </c>
      <c r="D275" s="64" t="s">
        <v>45</v>
      </c>
      <c r="E275" s="64" t="s">
        <v>21</v>
      </c>
      <c r="F275" s="206" t="s">
        <v>46</v>
      </c>
      <c r="G275" s="207"/>
      <c r="H275" s="208"/>
      <c r="I275" s="64" t="s">
        <v>24</v>
      </c>
      <c r="J275" s="50" t="s">
        <v>550</v>
      </c>
    </row>
    <row r="276" ht="14.25" spans="1:10">
      <c r="A276" s="63"/>
      <c r="B276" s="64"/>
      <c r="C276" s="64"/>
      <c r="D276" s="64"/>
      <c r="E276" s="64"/>
      <c r="F276" s="49"/>
      <c r="G276" s="209"/>
      <c r="H276" s="210"/>
      <c r="I276" s="64"/>
      <c r="J276" s="50"/>
    </row>
    <row r="277" spans="1:10">
      <c r="A277" s="171" t="s">
        <v>196</v>
      </c>
      <c r="B277" s="211" t="s">
        <v>324</v>
      </c>
      <c r="C277" s="173" t="s">
        <v>110</v>
      </c>
      <c r="D277" s="173" t="s">
        <v>32</v>
      </c>
      <c r="E277" s="173" t="s">
        <v>115</v>
      </c>
      <c r="F277" s="173" t="s">
        <v>325</v>
      </c>
      <c r="G277" s="173"/>
      <c r="H277" s="173"/>
      <c r="I277" s="173">
        <v>1</v>
      </c>
      <c r="J277" s="214">
        <v>1.3862</v>
      </c>
    </row>
    <row r="278" spans="1:10">
      <c r="A278" s="176"/>
      <c r="B278" s="178"/>
      <c r="C278" s="178" t="s">
        <v>199</v>
      </c>
      <c r="D278" s="178" t="s">
        <v>32</v>
      </c>
      <c r="E278" s="178" t="s">
        <v>115</v>
      </c>
      <c r="F278" s="178" t="s">
        <v>326</v>
      </c>
      <c r="G278" s="178"/>
      <c r="H278" s="178"/>
      <c r="I278" s="178">
        <v>2</v>
      </c>
      <c r="J278" s="215">
        <v>0.1483</v>
      </c>
    </row>
    <row r="279" spans="1:10">
      <c r="A279" s="176"/>
      <c r="B279" s="178"/>
      <c r="C279" s="178" t="s">
        <v>327</v>
      </c>
      <c r="D279" s="178" t="s">
        <v>32</v>
      </c>
      <c r="E279" s="178" t="s">
        <v>115</v>
      </c>
      <c r="F279" s="178" t="s">
        <v>328</v>
      </c>
      <c r="G279" s="178"/>
      <c r="H279" s="178"/>
      <c r="I279" s="178">
        <v>2</v>
      </c>
      <c r="J279" s="215">
        <v>0.0629</v>
      </c>
    </row>
    <row r="280" spans="1:10">
      <c r="A280" s="176"/>
      <c r="B280" s="178"/>
      <c r="C280" s="178" t="s">
        <v>117</v>
      </c>
      <c r="D280" s="178" t="s">
        <v>32</v>
      </c>
      <c r="E280" s="178" t="s">
        <v>115</v>
      </c>
      <c r="F280" s="178" t="s">
        <v>329</v>
      </c>
      <c r="G280" s="178"/>
      <c r="H280" s="178"/>
      <c r="I280" s="178">
        <v>1</v>
      </c>
      <c r="J280" s="215">
        <v>0.7169</v>
      </c>
    </row>
    <row r="281" spans="1:10">
      <c r="A281" s="176"/>
      <c r="B281" s="178"/>
      <c r="C281" s="178" t="s">
        <v>114</v>
      </c>
      <c r="D281" s="178" t="s">
        <v>32</v>
      </c>
      <c r="E281" s="178" t="s">
        <v>115</v>
      </c>
      <c r="F281" s="178" t="s">
        <v>330</v>
      </c>
      <c r="G281" s="178"/>
      <c r="H281" s="178"/>
      <c r="I281" s="178">
        <v>1</v>
      </c>
      <c r="J281" s="215">
        <v>0.5692</v>
      </c>
    </row>
    <row r="282" spans="1:10">
      <c r="A282" s="176"/>
      <c r="B282" s="178"/>
      <c r="C282" s="178" t="s">
        <v>129</v>
      </c>
      <c r="D282" s="178" t="s">
        <v>32</v>
      </c>
      <c r="E282" s="178" t="s">
        <v>115</v>
      </c>
      <c r="F282" s="178" t="s">
        <v>331</v>
      </c>
      <c r="G282" s="178"/>
      <c r="H282" s="178"/>
      <c r="I282" s="178">
        <v>2</v>
      </c>
      <c r="J282" s="215">
        <v>0.9442</v>
      </c>
    </row>
    <row r="283" spans="1:10">
      <c r="A283" s="176"/>
      <c r="B283" s="178"/>
      <c r="C283" s="178" t="s">
        <v>114</v>
      </c>
      <c r="D283" s="178" t="s">
        <v>32</v>
      </c>
      <c r="E283" s="178" t="s">
        <v>115</v>
      </c>
      <c r="F283" s="178" t="s">
        <v>332</v>
      </c>
      <c r="G283" s="178"/>
      <c r="H283" s="178"/>
      <c r="I283" s="178">
        <v>1</v>
      </c>
      <c r="J283" s="215">
        <v>0.9831</v>
      </c>
    </row>
    <row r="284" spans="1:10">
      <c r="A284" s="176"/>
      <c r="B284" s="178"/>
      <c r="C284" s="178" t="s">
        <v>180</v>
      </c>
      <c r="D284" s="178" t="s">
        <v>32</v>
      </c>
      <c r="E284" s="178" t="s">
        <v>115</v>
      </c>
      <c r="F284" s="178" t="s">
        <v>333</v>
      </c>
      <c r="G284" s="178"/>
      <c r="H284" s="178"/>
      <c r="I284" s="178">
        <v>1</v>
      </c>
      <c r="J284" s="215">
        <v>0.0657</v>
      </c>
    </row>
    <row r="285" spans="1:10">
      <c r="A285" s="176"/>
      <c r="B285" s="178"/>
      <c r="C285" s="178" t="s">
        <v>114</v>
      </c>
      <c r="D285" s="178" t="s">
        <v>32</v>
      </c>
      <c r="E285" s="178" t="s">
        <v>115</v>
      </c>
      <c r="F285" s="178" t="s">
        <v>334</v>
      </c>
      <c r="G285" s="178"/>
      <c r="H285" s="178"/>
      <c r="I285" s="178">
        <v>1</v>
      </c>
      <c r="J285" s="215">
        <v>0.349</v>
      </c>
    </row>
    <row r="286" spans="1:10">
      <c r="A286" s="176"/>
      <c r="B286" s="178"/>
      <c r="C286" s="178" t="s">
        <v>221</v>
      </c>
      <c r="D286" s="178" t="s">
        <v>32</v>
      </c>
      <c r="E286" s="178" t="s">
        <v>115</v>
      </c>
      <c r="F286" s="178" t="s">
        <v>335</v>
      </c>
      <c r="G286" s="178"/>
      <c r="H286" s="178"/>
      <c r="I286" s="178">
        <v>1</v>
      </c>
      <c r="J286" s="215">
        <v>1.3305</v>
      </c>
    </row>
    <row r="287" spans="1:10">
      <c r="A287" s="176"/>
      <c r="B287" s="178"/>
      <c r="C287" s="178" t="s">
        <v>114</v>
      </c>
      <c r="D287" s="178" t="s">
        <v>32</v>
      </c>
      <c r="E287" s="178" t="s">
        <v>115</v>
      </c>
      <c r="F287" s="178" t="s">
        <v>336</v>
      </c>
      <c r="G287" s="178"/>
      <c r="H287" s="178"/>
      <c r="I287" s="178">
        <v>1</v>
      </c>
      <c r="J287" s="215">
        <v>0.2788</v>
      </c>
    </row>
    <row r="288" spans="1:10">
      <c r="A288" s="176"/>
      <c r="B288" s="178"/>
      <c r="C288" s="178" t="s">
        <v>129</v>
      </c>
      <c r="D288" s="178" t="s">
        <v>32</v>
      </c>
      <c r="E288" s="178" t="s">
        <v>115</v>
      </c>
      <c r="F288" s="178" t="s">
        <v>337</v>
      </c>
      <c r="G288" s="178"/>
      <c r="H288" s="178"/>
      <c r="I288" s="178">
        <v>4</v>
      </c>
      <c r="J288" s="215">
        <v>0.9131</v>
      </c>
    </row>
    <row r="289" spans="1:10">
      <c r="A289" s="176"/>
      <c r="B289" s="178"/>
      <c r="C289" s="178" t="s">
        <v>114</v>
      </c>
      <c r="D289" s="178" t="s">
        <v>32</v>
      </c>
      <c r="E289" s="178" t="s">
        <v>115</v>
      </c>
      <c r="F289" s="178" t="s">
        <v>338</v>
      </c>
      <c r="G289" s="178"/>
      <c r="H289" s="178"/>
      <c r="I289" s="178">
        <v>3</v>
      </c>
      <c r="J289" s="215">
        <v>0.475</v>
      </c>
    </row>
    <row r="290" spans="1:10">
      <c r="A290" s="176"/>
      <c r="B290" s="178"/>
      <c r="C290" s="178" t="s">
        <v>114</v>
      </c>
      <c r="D290" s="178" t="s">
        <v>32</v>
      </c>
      <c r="E290" s="178" t="s">
        <v>115</v>
      </c>
      <c r="F290" s="178" t="s">
        <v>339</v>
      </c>
      <c r="G290" s="178"/>
      <c r="H290" s="178"/>
      <c r="I290" s="178">
        <v>1</v>
      </c>
      <c r="J290" s="215">
        <v>0.1709</v>
      </c>
    </row>
    <row r="291" spans="1:10">
      <c r="A291" s="176"/>
      <c r="B291" s="178"/>
      <c r="C291" s="178" t="s">
        <v>142</v>
      </c>
      <c r="D291" s="178" t="s">
        <v>32</v>
      </c>
      <c r="E291" s="178" t="s">
        <v>115</v>
      </c>
      <c r="F291" s="178" t="s">
        <v>329</v>
      </c>
      <c r="G291" s="178"/>
      <c r="H291" s="178"/>
      <c r="I291" s="178">
        <v>1</v>
      </c>
      <c r="J291" s="215">
        <v>0.7169</v>
      </c>
    </row>
    <row r="292" spans="1:10">
      <c r="A292" s="176"/>
      <c r="B292" s="178"/>
      <c r="C292" s="178" t="s">
        <v>223</v>
      </c>
      <c r="D292" s="178" t="s">
        <v>32</v>
      </c>
      <c r="E292" s="178" t="s">
        <v>115</v>
      </c>
      <c r="F292" s="178" t="s">
        <v>325</v>
      </c>
      <c r="G292" s="178"/>
      <c r="H292" s="178"/>
      <c r="I292" s="178">
        <v>1</v>
      </c>
      <c r="J292" s="215">
        <v>1.3862</v>
      </c>
    </row>
    <row r="293" spans="1:10">
      <c r="A293" s="176"/>
      <c r="B293" s="178"/>
      <c r="C293" s="178" t="s">
        <v>145</v>
      </c>
      <c r="D293" s="178" t="s">
        <v>32</v>
      </c>
      <c r="E293" s="178" t="s">
        <v>115</v>
      </c>
      <c r="F293" s="178" t="s">
        <v>340</v>
      </c>
      <c r="G293" s="178"/>
      <c r="H293" s="178"/>
      <c r="I293" s="178">
        <v>1</v>
      </c>
      <c r="J293" s="215">
        <v>0.0636</v>
      </c>
    </row>
    <row r="294" spans="1:10">
      <c r="A294" s="176"/>
      <c r="B294" s="178"/>
      <c r="C294" s="178" t="s">
        <v>146</v>
      </c>
      <c r="D294" s="178" t="s">
        <v>32</v>
      </c>
      <c r="E294" s="178" t="s">
        <v>115</v>
      </c>
      <c r="F294" s="178" t="s">
        <v>341</v>
      </c>
      <c r="G294" s="178"/>
      <c r="H294" s="178"/>
      <c r="I294" s="178">
        <v>1</v>
      </c>
      <c r="J294" s="215">
        <v>0.1018</v>
      </c>
    </row>
    <row r="295" spans="1:10">
      <c r="A295" s="176"/>
      <c r="B295" s="178"/>
      <c r="C295" s="178" t="s">
        <v>31</v>
      </c>
      <c r="D295" s="178" t="s">
        <v>32</v>
      </c>
      <c r="E295" s="178" t="s">
        <v>111</v>
      </c>
      <c r="F295" s="178" t="s">
        <v>342</v>
      </c>
      <c r="G295" s="178"/>
      <c r="H295" s="178"/>
      <c r="I295" s="178">
        <v>2</v>
      </c>
      <c r="J295" s="215">
        <v>1.4019</v>
      </c>
    </row>
    <row r="296" spans="1:10">
      <c r="A296" s="176"/>
      <c r="B296" s="178"/>
      <c r="C296" s="178" t="s">
        <v>35</v>
      </c>
      <c r="D296" s="178" t="s">
        <v>32</v>
      </c>
      <c r="E296" s="178" t="s">
        <v>111</v>
      </c>
      <c r="F296" s="178" t="s">
        <v>342</v>
      </c>
      <c r="G296" s="178"/>
      <c r="H296" s="178"/>
      <c r="I296" s="178">
        <v>1</v>
      </c>
      <c r="J296" s="215">
        <v>0.701</v>
      </c>
    </row>
    <row r="297" spans="1:10">
      <c r="A297" s="176"/>
      <c r="B297" s="178"/>
      <c r="C297" s="178" t="s">
        <v>31</v>
      </c>
      <c r="D297" s="178" t="s">
        <v>32</v>
      </c>
      <c r="E297" s="178" t="s">
        <v>111</v>
      </c>
      <c r="F297" s="178" t="s">
        <v>343</v>
      </c>
      <c r="G297" s="178"/>
      <c r="H297" s="178"/>
      <c r="I297" s="178">
        <v>2</v>
      </c>
      <c r="J297" s="215">
        <v>0.6222</v>
      </c>
    </row>
    <row r="298" spans="1:10">
      <c r="A298" s="176"/>
      <c r="B298" s="178"/>
      <c r="C298" s="178" t="s">
        <v>35</v>
      </c>
      <c r="D298" s="178" t="s">
        <v>32</v>
      </c>
      <c r="E298" s="178" t="s">
        <v>111</v>
      </c>
      <c r="F298" s="178" t="s">
        <v>343</v>
      </c>
      <c r="G298" s="178"/>
      <c r="H298" s="178"/>
      <c r="I298" s="178">
        <v>1</v>
      </c>
      <c r="J298" s="215">
        <v>0.3111</v>
      </c>
    </row>
    <row r="299" spans="1:10">
      <c r="A299" s="176"/>
      <c r="B299" s="178"/>
      <c r="C299" s="178" t="s">
        <v>47</v>
      </c>
      <c r="D299" s="178" t="s">
        <v>570</v>
      </c>
      <c r="E299" s="178" t="s">
        <v>48</v>
      </c>
      <c r="F299" s="178" t="s">
        <v>49</v>
      </c>
      <c r="G299" s="178"/>
      <c r="H299" s="178"/>
      <c r="I299" s="178">
        <v>72</v>
      </c>
      <c r="J299" s="180" t="s">
        <v>4</v>
      </c>
    </row>
    <row r="300" spans="1:10">
      <c r="A300" s="176"/>
      <c r="B300" s="178"/>
      <c r="C300" s="178" t="s">
        <v>55</v>
      </c>
      <c r="D300" s="178" t="s">
        <v>570</v>
      </c>
      <c r="E300" s="178" t="s">
        <v>56</v>
      </c>
      <c r="F300" s="178" t="s">
        <v>57</v>
      </c>
      <c r="G300" s="178"/>
      <c r="H300" s="178"/>
      <c r="I300" s="178">
        <v>6</v>
      </c>
      <c r="J300" s="180" t="s">
        <v>4</v>
      </c>
    </row>
    <row r="301" spans="1:10">
      <c r="A301" s="176"/>
      <c r="B301" s="178"/>
      <c r="C301" s="178" t="s">
        <v>151</v>
      </c>
      <c r="D301" s="178" t="s">
        <v>570</v>
      </c>
      <c r="E301" s="178" t="s">
        <v>56</v>
      </c>
      <c r="F301" s="178" t="s">
        <v>152</v>
      </c>
      <c r="G301" s="178"/>
      <c r="H301" s="178"/>
      <c r="I301" s="178">
        <v>6</v>
      </c>
      <c r="J301" s="180" t="s">
        <v>4</v>
      </c>
    </row>
    <row r="302" spans="1:10">
      <c r="A302" s="176"/>
      <c r="B302" s="178"/>
      <c r="C302" s="178" t="s">
        <v>55</v>
      </c>
      <c r="D302" s="178" t="s">
        <v>570</v>
      </c>
      <c r="E302" s="178" t="s">
        <v>56</v>
      </c>
      <c r="F302" s="178" t="s">
        <v>62</v>
      </c>
      <c r="G302" s="178"/>
      <c r="H302" s="178"/>
      <c r="I302" s="178">
        <v>12</v>
      </c>
      <c r="J302" s="180" t="s">
        <v>4</v>
      </c>
    </row>
    <row r="303" spans="1:10">
      <c r="A303" s="176"/>
      <c r="B303" s="178"/>
      <c r="C303" s="178" t="s">
        <v>69</v>
      </c>
      <c r="D303" s="178" t="s">
        <v>570</v>
      </c>
      <c r="E303" s="178" t="s">
        <v>70</v>
      </c>
      <c r="F303" s="178" t="s">
        <v>71</v>
      </c>
      <c r="G303" s="178"/>
      <c r="H303" s="178"/>
      <c r="I303" s="178">
        <v>1</v>
      </c>
      <c r="J303" s="180" t="s">
        <v>4</v>
      </c>
    </row>
    <row r="304" ht="14.25" spans="1:10">
      <c r="A304" s="212"/>
      <c r="B304" s="213"/>
      <c r="C304" s="213" t="s">
        <v>72</v>
      </c>
      <c r="D304" s="213" t="s">
        <v>570</v>
      </c>
      <c r="E304" s="213" t="s">
        <v>73</v>
      </c>
      <c r="F304" s="213" t="s">
        <v>74</v>
      </c>
      <c r="G304" s="213"/>
      <c r="H304" s="213"/>
      <c r="I304" s="213">
        <v>2</v>
      </c>
      <c r="J304" s="216" t="s">
        <v>4</v>
      </c>
    </row>
    <row r="306" spans="1:10">
      <c r="A306" s="63" t="s">
        <v>17</v>
      </c>
      <c r="B306" s="64" t="s">
        <v>18</v>
      </c>
      <c r="C306" s="64" t="s">
        <v>105</v>
      </c>
      <c r="D306" s="64" t="s">
        <v>45</v>
      </c>
      <c r="E306" s="64" t="s">
        <v>21</v>
      </c>
      <c r="F306" s="206" t="s">
        <v>46</v>
      </c>
      <c r="G306" s="207"/>
      <c r="H306" s="208"/>
      <c r="I306" s="64" t="s">
        <v>24</v>
      </c>
      <c r="J306" s="50" t="s">
        <v>550</v>
      </c>
    </row>
    <row r="307" ht="14.25" spans="1:10">
      <c r="A307" s="63"/>
      <c r="B307" s="64"/>
      <c r="C307" s="64"/>
      <c r="D307" s="64"/>
      <c r="E307" s="64"/>
      <c r="F307" s="49"/>
      <c r="G307" s="209"/>
      <c r="H307" s="210"/>
      <c r="I307" s="64"/>
      <c r="J307" s="50"/>
    </row>
    <row r="308" spans="1:10">
      <c r="A308" s="171" t="s">
        <v>211</v>
      </c>
      <c r="B308" s="211" t="s">
        <v>345</v>
      </c>
      <c r="C308" s="173" t="s">
        <v>110</v>
      </c>
      <c r="D308" s="173" t="s">
        <v>32</v>
      </c>
      <c r="E308" s="173" t="s">
        <v>115</v>
      </c>
      <c r="F308" s="173" t="s">
        <v>325</v>
      </c>
      <c r="G308" s="173"/>
      <c r="H308" s="173"/>
      <c r="I308" s="173">
        <v>1</v>
      </c>
      <c r="J308" s="214">
        <v>1.3862</v>
      </c>
    </row>
    <row r="309" spans="1:10">
      <c r="A309" s="176"/>
      <c r="B309" s="178"/>
      <c r="C309" s="178" t="s">
        <v>199</v>
      </c>
      <c r="D309" s="178" t="s">
        <v>32</v>
      </c>
      <c r="E309" s="178" t="s">
        <v>115</v>
      </c>
      <c r="F309" s="178" t="s">
        <v>346</v>
      </c>
      <c r="G309" s="178"/>
      <c r="H309" s="178"/>
      <c r="I309" s="178">
        <v>2</v>
      </c>
      <c r="J309" s="215">
        <v>0.1186</v>
      </c>
    </row>
    <row r="310" spans="1:10">
      <c r="A310" s="176"/>
      <c r="B310" s="178"/>
      <c r="C310" s="178" t="s">
        <v>327</v>
      </c>
      <c r="D310" s="178" t="s">
        <v>32</v>
      </c>
      <c r="E310" s="178" t="s">
        <v>115</v>
      </c>
      <c r="F310" s="178" t="s">
        <v>328</v>
      </c>
      <c r="G310" s="178"/>
      <c r="H310" s="178"/>
      <c r="I310" s="178">
        <v>1</v>
      </c>
      <c r="J310" s="215">
        <v>0.0314</v>
      </c>
    </row>
    <row r="311" spans="1:10">
      <c r="A311" s="176"/>
      <c r="B311" s="178"/>
      <c r="C311" s="178" t="s">
        <v>117</v>
      </c>
      <c r="D311" s="178" t="s">
        <v>32</v>
      </c>
      <c r="E311" s="178" t="s">
        <v>115</v>
      </c>
      <c r="F311" s="178" t="s">
        <v>347</v>
      </c>
      <c r="G311" s="178"/>
      <c r="H311" s="178"/>
      <c r="I311" s="178">
        <v>1</v>
      </c>
      <c r="J311" s="215">
        <v>0.573</v>
      </c>
    </row>
    <row r="312" spans="1:10">
      <c r="A312" s="176"/>
      <c r="B312" s="178"/>
      <c r="C312" s="178" t="s">
        <v>221</v>
      </c>
      <c r="D312" s="178" t="s">
        <v>32</v>
      </c>
      <c r="E312" s="178" t="s">
        <v>115</v>
      </c>
      <c r="F312" s="178" t="s">
        <v>348</v>
      </c>
      <c r="G312" s="178"/>
      <c r="H312" s="178"/>
      <c r="I312" s="178">
        <v>1</v>
      </c>
      <c r="J312" s="215">
        <v>0.1835</v>
      </c>
    </row>
    <row r="313" spans="1:10">
      <c r="A313" s="176"/>
      <c r="B313" s="178"/>
      <c r="C313" s="178" t="s">
        <v>131</v>
      </c>
      <c r="D313" s="178" t="s">
        <v>32</v>
      </c>
      <c r="E313" s="178" t="s">
        <v>111</v>
      </c>
      <c r="F313" s="178" t="s">
        <v>349</v>
      </c>
      <c r="G313" s="178"/>
      <c r="H313" s="178"/>
      <c r="I313" s="178">
        <v>1</v>
      </c>
      <c r="J313" s="215">
        <v>0.0762</v>
      </c>
    </row>
    <row r="314" spans="1:10">
      <c r="A314" s="176"/>
      <c r="B314" s="178"/>
      <c r="C314" s="178" t="s">
        <v>114</v>
      </c>
      <c r="D314" s="178" t="s">
        <v>32</v>
      </c>
      <c r="E314" s="178" t="s">
        <v>115</v>
      </c>
      <c r="F314" s="178" t="s">
        <v>350</v>
      </c>
      <c r="G314" s="178"/>
      <c r="H314" s="178"/>
      <c r="I314" s="178">
        <v>1</v>
      </c>
      <c r="J314" s="215">
        <v>0.9301</v>
      </c>
    </row>
    <row r="315" spans="1:10">
      <c r="A315" s="176"/>
      <c r="B315" s="178"/>
      <c r="C315" s="178" t="s">
        <v>180</v>
      </c>
      <c r="D315" s="178" t="s">
        <v>32</v>
      </c>
      <c r="E315" s="178" t="s">
        <v>115</v>
      </c>
      <c r="F315" s="178" t="s">
        <v>351</v>
      </c>
      <c r="G315" s="178"/>
      <c r="H315" s="178"/>
      <c r="I315" s="178">
        <v>2</v>
      </c>
      <c r="J315" s="215">
        <v>0.1581</v>
      </c>
    </row>
    <row r="316" spans="1:10">
      <c r="A316" s="176"/>
      <c r="B316" s="178"/>
      <c r="C316" s="178" t="s">
        <v>129</v>
      </c>
      <c r="D316" s="178" t="s">
        <v>32</v>
      </c>
      <c r="E316" s="178" t="s">
        <v>115</v>
      </c>
      <c r="F316" s="178" t="s">
        <v>352</v>
      </c>
      <c r="G316" s="178"/>
      <c r="H316" s="178"/>
      <c r="I316" s="178">
        <v>2</v>
      </c>
      <c r="J316" s="215">
        <v>1.1066</v>
      </c>
    </row>
    <row r="317" spans="1:10">
      <c r="A317" s="176"/>
      <c r="B317" s="178"/>
      <c r="C317" s="178" t="s">
        <v>131</v>
      </c>
      <c r="D317" s="178" t="s">
        <v>32</v>
      </c>
      <c r="E317" s="178" t="s">
        <v>115</v>
      </c>
      <c r="F317" s="178" t="s">
        <v>353</v>
      </c>
      <c r="G317" s="178"/>
      <c r="H317" s="178"/>
      <c r="I317" s="178">
        <v>1</v>
      </c>
      <c r="J317" s="215">
        <v>1.3351</v>
      </c>
    </row>
    <row r="318" spans="1:10">
      <c r="A318" s="176"/>
      <c r="B318" s="178"/>
      <c r="C318" s="178" t="s">
        <v>114</v>
      </c>
      <c r="D318" s="178" t="s">
        <v>32</v>
      </c>
      <c r="E318" s="178" t="s">
        <v>115</v>
      </c>
      <c r="F318" s="178" t="s">
        <v>354</v>
      </c>
      <c r="G318" s="178"/>
      <c r="H318" s="178"/>
      <c r="I318" s="178">
        <v>1</v>
      </c>
      <c r="J318" s="215">
        <v>0.9341</v>
      </c>
    </row>
    <row r="319" spans="1:10">
      <c r="A319" s="176"/>
      <c r="B319" s="178"/>
      <c r="C319" s="178" t="s">
        <v>131</v>
      </c>
      <c r="D319" s="178" t="s">
        <v>32</v>
      </c>
      <c r="E319" s="178" t="s">
        <v>111</v>
      </c>
      <c r="F319" s="178" t="s">
        <v>355</v>
      </c>
      <c r="G319" s="178"/>
      <c r="H319" s="178"/>
      <c r="I319" s="178">
        <v>1</v>
      </c>
      <c r="J319" s="215">
        <v>0.1678</v>
      </c>
    </row>
    <row r="320" spans="1:10">
      <c r="A320" s="176"/>
      <c r="B320" s="178"/>
      <c r="C320" s="178" t="s">
        <v>114</v>
      </c>
      <c r="D320" s="178" t="s">
        <v>32</v>
      </c>
      <c r="E320" s="178" t="s">
        <v>115</v>
      </c>
      <c r="F320" s="178" t="s">
        <v>356</v>
      </c>
      <c r="G320" s="178"/>
      <c r="H320" s="178"/>
      <c r="I320" s="178">
        <v>1</v>
      </c>
      <c r="J320" s="215">
        <v>0.4192</v>
      </c>
    </row>
    <row r="321" spans="1:10">
      <c r="A321" s="176"/>
      <c r="B321" s="178"/>
      <c r="C321" s="178" t="s">
        <v>142</v>
      </c>
      <c r="D321" s="178" t="s">
        <v>32</v>
      </c>
      <c r="E321" s="178" t="s">
        <v>115</v>
      </c>
      <c r="F321" s="178" t="s">
        <v>347</v>
      </c>
      <c r="G321" s="178"/>
      <c r="H321" s="178"/>
      <c r="I321" s="178">
        <v>1</v>
      </c>
      <c r="J321" s="215">
        <v>0.573</v>
      </c>
    </row>
    <row r="322" spans="1:10">
      <c r="A322" s="176"/>
      <c r="B322" s="178"/>
      <c r="C322" s="178" t="s">
        <v>223</v>
      </c>
      <c r="D322" s="178" t="s">
        <v>32</v>
      </c>
      <c r="E322" s="178" t="s">
        <v>115</v>
      </c>
      <c r="F322" s="178" t="s">
        <v>325</v>
      </c>
      <c r="G322" s="178"/>
      <c r="H322" s="178"/>
      <c r="I322" s="178">
        <v>1</v>
      </c>
      <c r="J322" s="215">
        <v>1.3862</v>
      </c>
    </row>
    <row r="323" spans="1:10">
      <c r="A323" s="176"/>
      <c r="B323" s="178"/>
      <c r="C323" s="178" t="s">
        <v>145</v>
      </c>
      <c r="D323" s="178" t="s">
        <v>32</v>
      </c>
      <c r="E323" s="178" t="s">
        <v>115</v>
      </c>
      <c r="F323" s="178" t="s">
        <v>357</v>
      </c>
      <c r="G323" s="178"/>
      <c r="H323" s="178"/>
      <c r="I323" s="178">
        <v>1</v>
      </c>
      <c r="J323" s="215">
        <v>0.0512</v>
      </c>
    </row>
    <row r="324" spans="1:10">
      <c r="A324" s="176"/>
      <c r="B324" s="178"/>
      <c r="C324" s="178" t="s">
        <v>146</v>
      </c>
      <c r="D324" s="178" t="s">
        <v>32</v>
      </c>
      <c r="E324" s="178" t="s">
        <v>115</v>
      </c>
      <c r="F324" s="178" t="s">
        <v>358</v>
      </c>
      <c r="G324" s="178"/>
      <c r="H324" s="178"/>
      <c r="I324" s="178">
        <v>1</v>
      </c>
      <c r="J324" s="215">
        <v>0.0819</v>
      </c>
    </row>
    <row r="325" spans="1:10">
      <c r="A325" s="176"/>
      <c r="B325" s="178"/>
      <c r="C325" s="178" t="s">
        <v>35</v>
      </c>
      <c r="D325" s="178" t="s">
        <v>32</v>
      </c>
      <c r="E325" s="178" t="s">
        <v>111</v>
      </c>
      <c r="F325" s="178" t="s">
        <v>342</v>
      </c>
      <c r="G325" s="178"/>
      <c r="H325" s="178"/>
      <c r="I325" s="178">
        <v>1</v>
      </c>
      <c r="J325" s="215">
        <v>0.701</v>
      </c>
    </row>
    <row r="326" spans="1:10">
      <c r="A326" s="176"/>
      <c r="B326" s="178"/>
      <c r="C326" s="178" t="s">
        <v>35</v>
      </c>
      <c r="D326" s="178" t="s">
        <v>32</v>
      </c>
      <c r="E326" s="178" t="s">
        <v>111</v>
      </c>
      <c r="F326" s="178" t="s">
        <v>343</v>
      </c>
      <c r="G326" s="178"/>
      <c r="H326" s="178"/>
      <c r="I326" s="178">
        <v>1</v>
      </c>
      <c r="J326" s="215">
        <v>0.3111</v>
      </c>
    </row>
    <row r="327" spans="1:10">
      <c r="A327" s="176"/>
      <c r="B327" s="178"/>
      <c r="C327" s="178" t="s">
        <v>47</v>
      </c>
      <c r="D327" s="178" t="s">
        <v>570</v>
      </c>
      <c r="E327" s="178" t="s">
        <v>48</v>
      </c>
      <c r="F327" s="178" t="s">
        <v>49</v>
      </c>
      <c r="G327" s="178"/>
      <c r="H327" s="178"/>
      <c r="I327" s="178">
        <v>66</v>
      </c>
      <c r="J327" s="180" t="s">
        <v>4</v>
      </c>
    </row>
    <row r="328" spans="1:10">
      <c r="A328" s="176"/>
      <c r="B328" s="178"/>
      <c r="C328" s="178" t="s">
        <v>55</v>
      </c>
      <c r="D328" s="178" t="s">
        <v>570</v>
      </c>
      <c r="E328" s="178" t="s">
        <v>56</v>
      </c>
      <c r="F328" s="178" t="s">
        <v>57</v>
      </c>
      <c r="G328" s="178"/>
      <c r="H328" s="178"/>
      <c r="I328" s="178">
        <v>6</v>
      </c>
      <c r="J328" s="180" t="s">
        <v>4</v>
      </c>
    </row>
    <row r="329" spans="1:10">
      <c r="A329" s="176"/>
      <c r="B329" s="178"/>
      <c r="C329" s="178" t="s">
        <v>151</v>
      </c>
      <c r="D329" s="178" t="s">
        <v>570</v>
      </c>
      <c r="E329" s="178" t="s">
        <v>56</v>
      </c>
      <c r="F329" s="178" t="s">
        <v>152</v>
      </c>
      <c r="G329" s="178"/>
      <c r="H329" s="178"/>
      <c r="I329" s="178">
        <v>2</v>
      </c>
      <c r="J329" s="180" t="s">
        <v>4</v>
      </c>
    </row>
    <row r="330" spans="1:10">
      <c r="A330" s="176"/>
      <c r="B330" s="178"/>
      <c r="C330" s="178" t="s">
        <v>69</v>
      </c>
      <c r="D330" s="178" t="s">
        <v>570</v>
      </c>
      <c r="E330" s="178" t="s">
        <v>70</v>
      </c>
      <c r="F330" s="178" t="s">
        <v>75</v>
      </c>
      <c r="G330" s="178"/>
      <c r="H330" s="178"/>
      <c r="I330" s="178">
        <v>2</v>
      </c>
      <c r="J330" s="180" t="s">
        <v>4</v>
      </c>
    </row>
    <row r="331" ht="14.25" spans="1:10">
      <c r="A331" s="212"/>
      <c r="B331" s="213"/>
      <c r="C331" s="213" t="s">
        <v>72</v>
      </c>
      <c r="D331" s="213" t="s">
        <v>570</v>
      </c>
      <c r="E331" s="213" t="s">
        <v>73</v>
      </c>
      <c r="F331" s="213" t="s">
        <v>74</v>
      </c>
      <c r="G331" s="213"/>
      <c r="H331" s="213"/>
      <c r="I331" s="213">
        <v>4</v>
      </c>
      <c r="J331" s="216" t="s">
        <v>4</v>
      </c>
    </row>
    <row r="333" spans="1:10">
      <c r="A333" s="63" t="s">
        <v>17</v>
      </c>
      <c r="B333" s="64" t="s">
        <v>18</v>
      </c>
      <c r="C333" s="64" t="s">
        <v>105</v>
      </c>
      <c r="D333" s="64" t="s">
        <v>45</v>
      </c>
      <c r="E333" s="64" t="s">
        <v>21</v>
      </c>
      <c r="F333" s="206" t="s">
        <v>46</v>
      </c>
      <c r="G333" s="207"/>
      <c r="H333" s="208"/>
      <c r="I333" s="64" t="s">
        <v>24</v>
      </c>
      <c r="J333" s="50" t="s">
        <v>550</v>
      </c>
    </row>
    <row r="334" ht="14.25" spans="1:10">
      <c r="A334" s="63"/>
      <c r="B334" s="64"/>
      <c r="C334" s="64"/>
      <c r="D334" s="64"/>
      <c r="E334" s="64"/>
      <c r="F334" s="49"/>
      <c r="G334" s="209"/>
      <c r="H334" s="210"/>
      <c r="I334" s="64"/>
      <c r="J334" s="50"/>
    </row>
    <row r="335" spans="1:10">
      <c r="A335" s="171" t="s">
        <v>226</v>
      </c>
      <c r="B335" s="211" t="s">
        <v>360</v>
      </c>
      <c r="C335" s="173" t="s">
        <v>361</v>
      </c>
      <c r="D335" s="173" t="s">
        <v>32</v>
      </c>
      <c r="E335" s="173" t="s">
        <v>111</v>
      </c>
      <c r="F335" s="173" t="s">
        <v>362</v>
      </c>
      <c r="G335" s="173"/>
      <c r="H335" s="173"/>
      <c r="I335" s="173">
        <v>1</v>
      </c>
      <c r="J335" s="214">
        <v>0.0348</v>
      </c>
    </row>
    <row r="336" spans="1:10">
      <c r="A336" s="176"/>
      <c r="B336" s="178"/>
      <c r="C336" s="178" t="s">
        <v>361</v>
      </c>
      <c r="D336" s="178" t="s">
        <v>32</v>
      </c>
      <c r="E336" s="178" t="s">
        <v>115</v>
      </c>
      <c r="F336" s="178" t="s">
        <v>363</v>
      </c>
      <c r="G336" s="178"/>
      <c r="H336" s="178"/>
      <c r="I336" s="178">
        <v>2</v>
      </c>
      <c r="J336" s="215">
        <v>0.48</v>
      </c>
    </row>
    <row r="337" ht="14.25" spans="1:10">
      <c r="A337" s="212"/>
      <c r="B337" s="213"/>
      <c r="C337" s="213" t="s">
        <v>361</v>
      </c>
      <c r="D337" s="213" t="s">
        <v>32</v>
      </c>
      <c r="E337" s="213" t="s">
        <v>111</v>
      </c>
      <c r="F337" s="213" t="s">
        <v>363</v>
      </c>
      <c r="G337" s="213"/>
      <c r="H337" s="213"/>
      <c r="I337" s="213">
        <v>1</v>
      </c>
      <c r="J337" s="217">
        <v>0.24</v>
      </c>
    </row>
    <row r="339" spans="1:10">
      <c r="A339" s="63" t="s">
        <v>17</v>
      </c>
      <c r="B339" s="64" t="s">
        <v>18</v>
      </c>
      <c r="C339" s="64" t="s">
        <v>105</v>
      </c>
      <c r="D339" s="64" t="s">
        <v>45</v>
      </c>
      <c r="E339" s="64" t="s">
        <v>21</v>
      </c>
      <c r="F339" s="206" t="s">
        <v>46</v>
      </c>
      <c r="G339" s="207"/>
      <c r="H339" s="208"/>
      <c r="I339" s="64" t="s">
        <v>24</v>
      </c>
      <c r="J339" s="50" t="s">
        <v>550</v>
      </c>
    </row>
    <row r="340" ht="14.25" spans="1:10">
      <c r="A340" s="63"/>
      <c r="B340" s="64"/>
      <c r="C340" s="64"/>
      <c r="D340" s="64"/>
      <c r="E340" s="64"/>
      <c r="F340" s="49"/>
      <c r="G340" s="209"/>
      <c r="H340" s="210"/>
      <c r="I340" s="64"/>
      <c r="J340" s="50"/>
    </row>
    <row r="341" spans="1:10">
      <c r="A341" s="171" t="s">
        <v>108</v>
      </c>
      <c r="B341" s="211" t="s">
        <v>365</v>
      </c>
      <c r="C341" s="173" t="s">
        <v>131</v>
      </c>
      <c r="D341" s="173" t="s">
        <v>32</v>
      </c>
      <c r="E341" s="173" t="s">
        <v>111</v>
      </c>
      <c r="F341" s="173" t="s">
        <v>366</v>
      </c>
      <c r="G341" s="173"/>
      <c r="H341" s="173"/>
      <c r="I341" s="173">
        <v>1</v>
      </c>
      <c r="J341" s="214">
        <v>0.122</v>
      </c>
    </row>
    <row r="342" spans="1:10">
      <c r="A342" s="176"/>
      <c r="B342" s="178"/>
      <c r="C342" s="178" t="s">
        <v>110</v>
      </c>
      <c r="D342" s="178" t="s">
        <v>32</v>
      </c>
      <c r="E342" s="178" t="s">
        <v>115</v>
      </c>
      <c r="F342" s="178" t="s">
        <v>325</v>
      </c>
      <c r="G342" s="178"/>
      <c r="H342" s="178"/>
      <c r="I342" s="178">
        <v>1</v>
      </c>
      <c r="J342" s="215">
        <v>1.3862</v>
      </c>
    </row>
    <row r="343" spans="1:10">
      <c r="A343" s="176"/>
      <c r="B343" s="178"/>
      <c r="C343" s="178" t="s">
        <v>199</v>
      </c>
      <c r="D343" s="178" t="s">
        <v>32</v>
      </c>
      <c r="E343" s="178" t="s">
        <v>115</v>
      </c>
      <c r="F343" s="178" t="s">
        <v>367</v>
      </c>
      <c r="G343" s="178"/>
      <c r="H343" s="178"/>
      <c r="I343" s="178">
        <v>2</v>
      </c>
      <c r="J343" s="215">
        <v>0.1727</v>
      </c>
    </row>
    <row r="344" spans="1:10">
      <c r="A344" s="176"/>
      <c r="B344" s="178"/>
      <c r="C344" s="178" t="s">
        <v>327</v>
      </c>
      <c r="D344" s="178" t="s">
        <v>32</v>
      </c>
      <c r="E344" s="178" t="s">
        <v>115</v>
      </c>
      <c r="F344" s="178" t="s">
        <v>328</v>
      </c>
      <c r="G344" s="178"/>
      <c r="H344" s="178"/>
      <c r="I344" s="178">
        <v>2</v>
      </c>
      <c r="J344" s="215">
        <v>0.0629</v>
      </c>
    </row>
    <row r="345" spans="1:10">
      <c r="A345" s="176"/>
      <c r="B345" s="178"/>
      <c r="C345" s="178" t="s">
        <v>117</v>
      </c>
      <c r="D345" s="178" t="s">
        <v>32</v>
      </c>
      <c r="E345" s="178" t="s">
        <v>115</v>
      </c>
      <c r="F345" s="178" t="s">
        <v>368</v>
      </c>
      <c r="G345" s="178"/>
      <c r="H345" s="178"/>
      <c r="I345" s="178">
        <v>1</v>
      </c>
      <c r="J345" s="215">
        <v>0.8346</v>
      </c>
    </row>
    <row r="346" spans="1:10">
      <c r="A346" s="176"/>
      <c r="B346" s="178"/>
      <c r="C346" s="178" t="s">
        <v>114</v>
      </c>
      <c r="D346" s="178" t="s">
        <v>32</v>
      </c>
      <c r="E346" s="178" t="s">
        <v>115</v>
      </c>
      <c r="F346" s="178" t="s">
        <v>369</v>
      </c>
      <c r="G346" s="178"/>
      <c r="H346" s="178"/>
      <c r="I346" s="178">
        <v>1</v>
      </c>
      <c r="J346" s="215">
        <v>0.3137</v>
      </c>
    </row>
    <row r="347" spans="1:10">
      <c r="A347" s="176"/>
      <c r="B347" s="178"/>
      <c r="C347" s="178" t="s">
        <v>129</v>
      </c>
      <c r="D347" s="178" t="s">
        <v>32</v>
      </c>
      <c r="E347" s="178" t="s">
        <v>115</v>
      </c>
      <c r="F347" s="178" t="s">
        <v>370</v>
      </c>
      <c r="G347" s="178"/>
      <c r="H347" s="178"/>
      <c r="I347" s="178">
        <v>1</v>
      </c>
      <c r="J347" s="215">
        <v>0.2598</v>
      </c>
    </row>
    <row r="348" spans="1:10">
      <c r="A348" s="176"/>
      <c r="B348" s="178"/>
      <c r="C348" s="178" t="s">
        <v>114</v>
      </c>
      <c r="D348" s="178" t="s">
        <v>32</v>
      </c>
      <c r="E348" s="178" t="s">
        <v>115</v>
      </c>
      <c r="F348" s="178" t="s">
        <v>371</v>
      </c>
      <c r="G348" s="178"/>
      <c r="H348" s="178"/>
      <c r="I348" s="178">
        <v>3</v>
      </c>
      <c r="J348" s="215">
        <v>0.5345</v>
      </c>
    </row>
    <row r="349" spans="1:10">
      <c r="A349" s="176"/>
      <c r="B349" s="178"/>
      <c r="C349" s="178" t="s">
        <v>129</v>
      </c>
      <c r="D349" s="178" t="s">
        <v>32</v>
      </c>
      <c r="E349" s="178" t="s">
        <v>115</v>
      </c>
      <c r="F349" s="178" t="s">
        <v>372</v>
      </c>
      <c r="G349" s="178"/>
      <c r="H349" s="178"/>
      <c r="I349" s="178">
        <v>3</v>
      </c>
      <c r="J349" s="215">
        <v>0.7728</v>
      </c>
    </row>
    <row r="350" spans="1:10">
      <c r="A350" s="176"/>
      <c r="B350" s="178"/>
      <c r="C350" s="178" t="s">
        <v>114</v>
      </c>
      <c r="D350" s="178" t="s">
        <v>32</v>
      </c>
      <c r="E350" s="178" t="s">
        <v>115</v>
      </c>
      <c r="F350" s="178" t="s">
        <v>373</v>
      </c>
      <c r="G350" s="178"/>
      <c r="H350" s="178"/>
      <c r="I350" s="178">
        <v>1</v>
      </c>
      <c r="J350" s="215">
        <v>0.1924</v>
      </c>
    </row>
    <row r="351" spans="1:10">
      <c r="A351" s="176"/>
      <c r="B351" s="178"/>
      <c r="C351" s="178" t="s">
        <v>221</v>
      </c>
      <c r="D351" s="178" t="s">
        <v>32</v>
      </c>
      <c r="E351" s="178" t="s">
        <v>115</v>
      </c>
      <c r="F351" s="178" t="s">
        <v>335</v>
      </c>
      <c r="G351" s="178"/>
      <c r="H351" s="178"/>
      <c r="I351" s="178">
        <v>1</v>
      </c>
      <c r="J351" s="215">
        <v>1.3305</v>
      </c>
    </row>
    <row r="352" spans="1:10">
      <c r="A352" s="176"/>
      <c r="B352" s="178"/>
      <c r="C352" s="178" t="s">
        <v>110</v>
      </c>
      <c r="D352" s="178" t="s">
        <v>32</v>
      </c>
      <c r="E352" s="178" t="s">
        <v>115</v>
      </c>
      <c r="F352" s="178" t="s">
        <v>374</v>
      </c>
      <c r="G352" s="178"/>
      <c r="H352" s="178"/>
      <c r="I352" s="178">
        <v>2</v>
      </c>
      <c r="J352" s="215">
        <v>0.4004</v>
      </c>
    </row>
    <row r="353" spans="1:10">
      <c r="A353" s="176"/>
      <c r="B353" s="178"/>
      <c r="C353" s="178" t="s">
        <v>375</v>
      </c>
      <c r="D353" s="178" t="s">
        <v>32</v>
      </c>
      <c r="E353" s="178" t="s">
        <v>115</v>
      </c>
      <c r="F353" s="178" t="s">
        <v>376</v>
      </c>
      <c r="G353" s="178"/>
      <c r="H353" s="178"/>
      <c r="I353" s="178">
        <v>2</v>
      </c>
      <c r="J353" s="215">
        <v>0.3557</v>
      </c>
    </row>
    <row r="354" spans="1:10">
      <c r="A354" s="176"/>
      <c r="B354" s="178"/>
      <c r="C354" s="178" t="s">
        <v>123</v>
      </c>
      <c r="D354" s="178" t="s">
        <v>32</v>
      </c>
      <c r="E354" s="178" t="s">
        <v>115</v>
      </c>
      <c r="F354" s="178" t="s">
        <v>377</v>
      </c>
      <c r="G354" s="178"/>
      <c r="H354" s="178"/>
      <c r="I354" s="178">
        <v>2</v>
      </c>
      <c r="J354" s="215">
        <v>0.2685</v>
      </c>
    </row>
    <row r="355" spans="1:10">
      <c r="A355" s="176"/>
      <c r="B355" s="178"/>
      <c r="C355" s="178" t="s">
        <v>124</v>
      </c>
      <c r="D355" s="178" t="s">
        <v>32</v>
      </c>
      <c r="E355" s="178" t="s">
        <v>115</v>
      </c>
      <c r="F355" s="178" t="s">
        <v>378</v>
      </c>
      <c r="G355" s="178"/>
      <c r="H355" s="178"/>
      <c r="I355" s="178">
        <v>2</v>
      </c>
      <c r="J355" s="215">
        <v>0.144</v>
      </c>
    </row>
    <row r="356" spans="1:10">
      <c r="A356" s="176"/>
      <c r="B356" s="178"/>
      <c r="C356" s="178" t="s">
        <v>126</v>
      </c>
      <c r="D356" s="178" t="s">
        <v>32</v>
      </c>
      <c r="E356" s="178" t="s">
        <v>115</v>
      </c>
      <c r="F356" s="178" t="s">
        <v>378</v>
      </c>
      <c r="G356" s="178"/>
      <c r="H356" s="178"/>
      <c r="I356" s="178">
        <v>2</v>
      </c>
      <c r="J356" s="215">
        <v>0.144</v>
      </c>
    </row>
    <row r="357" spans="1:10">
      <c r="A357" s="176"/>
      <c r="B357" s="178"/>
      <c r="C357" s="178" t="s">
        <v>127</v>
      </c>
      <c r="D357" s="178" t="s">
        <v>32</v>
      </c>
      <c r="E357" s="178" t="s">
        <v>115</v>
      </c>
      <c r="F357" s="178" t="s">
        <v>379</v>
      </c>
      <c r="G357" s="178"/>
      <c r="H357" s="178"/>
      <c r="I357" s="178">
        <v>2</v>
      </c>
      <c r="J357" s="215">
        <v>0.7505</v>
      </c>
    </row>
    <row r="358" spans="1:10">
      <c r="A358" s="176"/>
      <c r="B358" s="178"/>
      <c r="C358" s="178" t="s">
        <v>223</v>
      </c>
      <c r="D358" s="178" t="s">
        <v>32</v>
      </c>
      <c r="E358" s="178" t="s">
        <v>115</v>
      </c>
      <c r="F358" s="178" t="s">
        <v>374</v>
      </c>
      <c r="G358" s="178"/>
      <c r="H358" s="178"/>
      <c r="I358" s="178">
        <v>2</v>
      </c>
      <c r="J358" s="215">
        <v>0.4004</v>
      </c>
    </row>
    <row r="359" spans="1:10">
      <c r="A359" s="176"/>
      <c r="B359" s="178"/>
      <c r="C359" s="178" t="s">
        <v>114</v>
      </c>
      <c r="D359" s="178" t="s">
        <v>32</v>
      </c>
      <c r="E359" s="178" t="s">
        <v>115</v>
      </c>
      <c r="F359" s="178" t="s">
        <v>380</v>
      </c>
      <c r="G359" s="178"/>
      <c r="H359" s="178"/>
      <c r="I359" s="178">
        <v>1</v>
      </c>
      <c r="J359" s="215">
        <v>0.8434</v>
      </c>
    </row>
    <row r="360" spans="1:10">
      <c r="A360" s="176"/>
      <c r="B360" s="178"/>
      <c r="C360" s="178" t="s">
        <v>129</v>
      </c>
      <c r="D360" s="178" t="s">
        <v>32</v>
      </c>
      <c r="E360" s="178" t="s">
        <v>115</v>
      </c>
      <c r="F360" s="178" t="s">
        <v>381</v>
      </c>
      <c r="G360" s="178"/>
      <c r="H360" s="178"/>
      <c r="I360" s="178">
        <v>1</v>
      </c>
      <c r="J360" s="215">
        <v>0.4865</v>
      </c>
    </row>
    <row r="361" spans="1:10">
      <c r="A361" s="176"/>
      <c r="B361" s="178"/>
      <c r="C361" s="178" t="s">
        <v>114</v>
      </c>
      <c r="D361" s="178" t="s">
        <v>32</v>
      </c>
      <c r="E361" s="178" t="s">
        <v>115</v>
      </c>
      <c r="F361" s="178" t="s">
        <v>382</v>
      </c>
      <c r="G361" s="178"/>
      <c r="H361" s="178"/>
      <c r="I361" s="178">
        <v>1</v>
      </c>
      <c r="J361" s="215">
        <v>0.9928</v>
      </c>
    </row>
    <row r="362" spans="1:10">
      <c r="A362" s="176"/>
      <c r="B362" s="178"/>
      <c r="C362" s="178" t="s">
        <v>180</v>
      </c>
      <c r="D362" s="178" t="s">
        <v>32</v>
      </c>
      <c r="E362" s="178" t="s">
        <v>115</v>
      </c>
      <c r="F362" s="178" t="s">
        <v>383</v>
      </c>
      <c r="G362" s="178"/>
      <c r="H362" s="178"/>
      <c r="I362" s="178">
        <v>1</v>
      </c>
      <c r="J362" s="215">
        <v>0.0778</v>
      </c>
    </row>
    <row r="363" spans="1:10">
      <c r="A363" s="176"/>
      <c r="B363" s="178"/>
      <c r="C363" s="178" t="s">
        <v>129</v>
      </c>
      <c r="D363" s="178" t="s">
        <v>32</v>
      </c>
      <c r="E363" s="178" t="s">
        <v>115</v>
      </c>
      <c r="F363" s="178" t="s">
        <v>384</v>
      </c>
      <c r="G363" s="178"/>
      <c r="H363" s="178"/>
      <c r="I363" s="178">
        <v>1</v>
      </c>
      <c r="J363" s="215">
        <v>0.5595</v>
      </c>
    </row>
    <row r="364" spans="1:10">
      <c r="A364" s="176"/>
      <c r="B364" s="178"/>
      <c r="C364" s="178" t="s">
        <v>114</v>
      </c>
      <c r="D364" s="178" t="s">
        <v>32</v>
      </c>
      <c r="E364" s="178" t="s">
        <v>115</v>
      </c>
      <c r="F364" s="178" t="s">
        <v>385</v>
      </c>
      <c r="G364" s="178"/>
      <c r="H364" s="178"/>
      <c r="I364" s="178">
        <v>1</v>
      </c>
      <c r="J364" s="215">
        <v>0.4129</v>
      </c>
    </row>
    <row r="365" spans="1:10">
      <c r="A365" s="176"/>
      <c r="B365" s="178"/>
      <c r="C365" s="178" t="s">
        <v>142</v>
      </c>
      <c r="D365" s="178" t="s">
        <v>32</v>
      </c>
      <c r="E365" s="178" t="s">
        <v>115</v>
      </c>
      <c r="F365" s="178" t="s">
        <v>368</v>
      </c>
      <c r="G365" s="178"/>
      <c r="H365" s="178"/>
      <c r="I365" s="178">
        <v>1</v>
      </c>
      <c r="J365" s="215">
        <v>0.8346</v>
      </c>
    </row>
    <row r="366" spans="1:10">
      <c r="A366" s="176"/>
      <c r="B366" s="178"/>
      <c r="C366" s="178" t="s">
        <v>223</v>
      </c>
      <c r="D366" s="178" t="s">
        <v>32</v>
      </c>
      <c r="E366" s="178" t="s">
        <v>115</v>
      </c>
      <c r="F366" s="178" t="s">
        <v>325</v>
      </c>
      <c r="G366" s="178"/>
      <c r="H366" s="178"/>
      <c r="I366" s="178">
        <v>1</v>
      </c>
      <c r="J366" s="215">
        <v>1.3862</v>
      </c>
    </row>
    <row r="367" spans="1:10">
      <c r="A367" s="176"/>
      <c r="B367" s="178"/>
      <c r="C367" s="178" t="s">
        <v>145</v>
      </c>
      <c r="D367" s="178" t="s">
        <v>32</v>
      </c>
      <c r="E367" s="178" t="s">
        <v>115</v>
      </c>
      <c r="F367" s="178" t="s">
        <v>386</v>
      </c>
      <c r="G367" s="178"/>
      <c r="H367" s="178"/>
      <c r="I367" s="178">
        <v>1</v>
      </c>
      <c r="J367" s="215">
        <v>0.0762</v>
      </c>
    </row>
    <row r="368" spans="1:10">
      <c r="A368" s="176"/>
      <c r="B368" s="178"/>
      <c r="C368" s="178" t="s">
        <v>146</v>
      </c>
      <c r="D368" s="178" t="s">
        <v>32</v>
      </c>
      <c r="E368" s="178" t="s">
        <v>115</v>
      </c>
      <c r="F368" s="178" t="s">
        <v>387</v>
      </c>
      <c r="G368" s="178"/>
      <c r="H368" s="178"/>
      <c r="I368" s="178">
        <v>1</v>
      </c>
      <c r="J368" s="215">
        <v>0.122</v>
      </c>
    </row>
    <row r="369" spans="1:10">
      <c r="A369" s="176"/>
      <c r="B369" s="178"/>
      <c r="C369" s="178" t="s">
        <v>31</v>
      </c>
      <c r="D369" s="178" t="s">
        <v>32</v>
      </c>
      <c r="E369" s="178" t="s">
        <v>33</v>
      </c>
      <c r="F369" s="178" t="s">
        <v>388</v>
      </c>
      <c r="G369" s="178"/>
      <c r="H369" s="178"/>
      <c r="I369" s="178">
        <v>1</v>
      </c>
      <c r="J369" s="215">
        <v>1.1963</v>
      </c>
    </row>
    <row r="370" spans="1:10">
      <c r="A370" s="176"/>
      <c r="B370" s="178"/>
      <c r="C370" s="178" t="s">
        <v>35</v>
      </c>
      <c r="D370" s="178" t="s">
        <v>32</v>
      </c>
      <c r="E370" s="178" t="s">
        <v>33</v>
      </c>
      <c r="F370" s="178" t="s">
        <v>388</v>
      </c>
      <c r="G370" s="178"/>
      <c r="H370" s="178"/>
      <c r="I370" s="178">
        <v>1</v>
      </c>
      <c r="J370" s="215">
        <v>1.1963</v>
      </c>
    </row>
    <row r="371" spans="1:10">
      <c r="A371" s="176"/>
      <c r="B371" s="178"/>
      <c r="C371" s="178" t="s">
        <v>31</v>
      </c>
      <c r="D371" s="178" t="s">
        <v>32</v>
      </c>
      <c r="E371" s="178" t="s">
        <v>111</v>
      </c>
      <c r="F371" s="178" t="s">
        <v>389</v>
      </c>
      <c r="G371" s="178"/>
      <c r="H371" s="178"/>
      <c r="I371" s="178">
        <v>1</v>
      </c>
      <c r="J371" s="215">
        <v>0.7859</v>
      </c>
    </row>
    <row r="372" spans="1:10">
      <c r="A372" s="176"/>
      <c r="B372" s="178"/>
      <c r="C372" s="178" t="s">
        <v>31</v>
      </c>
      <c r="D372" s="178" t="s">
        <v>32</v>
      </c>
      <c r="E372" s="178" t="s">
        <v>111</v>
      </c>
      <c r="F372" s="178" t="s">
        <v>390</v>
      </c>
      <c r="G372" s="178"/>
      <c r="H372" s="178"/>
      <c r="I372" s="178">
        <v>1</v>
      </c>
      <c r="J372" s="215">
        <v>0.3488</v>
      </c>
    </row>
    <row r="373" spans="1:10">
      <c r="A373" s="176"/>
      <c r="B373" s="178"/>
      <c r="C373" s="178" t="s">
        <v>47</v>
      </c>
      <c r="D373" s="178" t="s">
        <v>570</v>
      </c>
      <c r="E373" s="178" t="s">
        <v>48</v>
      </c>
      <c r="F373" s="178" t="s">
        <v>49</v>
      </c>
      <c r="G373" s="178"/>
      <c r="H373" s="178"/>
      <c r="I373" s="178">
        <v>96</v>
      </c>
      <c r="J373" s="180" t="s">
        <v>4</v>
      </c>
    </row>
    <row r="374" spans="1:10">
      <c r="A374" s="176"/>
      <c r="B374" s="178"/>
      <c r="C374" s="178" t="s">
        <v>50</v>
      </c>
      <c r="D374" s="178" t="s">
        <v>570</v>
      </c>
      <c r="E374" s="178" t="s">
        <v>51</v>
      </c>
      <c r="F374" s="178" t="s">
        <v>76</v>
      </c>
      <c r="G374" s="178"/>
      <c r="H374" s="178"/>
      <c r="I374" s="178">
        <v>2</v>
      </c>
      <c r="J374" s="180" t="s">
        <v>4</v>
      </c>
    </row>
    <row r="375" spans="1:10">
      <c r="A375" s="176"/>
      <c r="B375" s="178"/>
      <c r="C375" s="178" t="s">
        <v>53</v>
      </c>
      <c r="D375" s="178" t="s">
        <v>570</v>
      </c>
      <c r="E375" s="178" t="s">
        <v>48</v>
      </c>
      <c r="F375" s="178" t="s">
        <v>77</v>
      </c>
      <c r="G375" s="178"/>
      <c r="H375" s="178"/>
      <c r="I375" s="178">
        <v>2</v>
      </c>
      <c r="J375" s="180" t="s">
        <v>4</v>
      </c>
    </row>
    <row r="376" spans="1:10">
      <c r="A376" s="176"/>
      <c r="B376" s="178"/>
      <c r="C376" s="178" t="s">
        <v>151</v>
      </c>
      <c r="D376" s="178" t="s">
        <v>570</v>
      </c>
      <c r="E376" s="178" t="s">
        <v>56</v>
      </c>
      <c r="F376" s="178" t="s">
        <v>152</v>
      </c>
      <c r="G376" s="178"/>
      <c r="H376" s="178"/>
      <c r="I376" s="178">
        <v>6</v>
      </c>
      <c r="J376" s="180" t="s">
        <v>4</v>
      </c>
    </row>
    <row r="377" spans="1:10">
      <c r="A377" s="176"/>
      <c r="B377" s="178"/>
      <c r="C377" s="178" t="s">
        <v>55</v>
      </c>
      <c r="D377" s="178" t="s">
        <v>570</v>
      </c>
      <c r="E377" s="178" t="s">
        <v>56</v>
      </c>
      <c r="F377" s="178" t="s">
        <v>62</v>
      </c>
      <c r="G377" s="178"/>
      <c r="H377" s="178"/>
      <c r="I377" s="178">
        <v>5</v>
      </c>
      <c r="J377" s="180" t="s">
        <v>4</v>
      </c>
    </row>
    <row r="378" spans="1:10">
      <c r="A378" s="176"/>
      <c r="B378" s="178"/>
      <c r="C378" s="178" t="s">
        <v>55</v>
      </c>
      <c r="D378" s="178" t="s">
        <v>570</v>
      </c>
      <c r="E378" s="178" t="s">
        <v>56</v>
      </c>
      <c r="F378" s="178" t="s">
        <v>57</v>
      </c>
      <c r="G378" s="178"/>
      <c r="H378" s="178"/>
      <c r="I378" s="178">
        <v>11</v>
      </c>
      <c r="J378" s="180" t="s">
        <v>4</v>
      </c>
    </row>
    <row r="379" spans="1:10">
      <c r="A379" s="176"/>
      <c r="B379" s="178"/>
      <c r="C379" s="178" t="s">
        <v>69</v>
      </c>
      <c r="D379" s="178" t="s">
        <v>570</v>
      </c>
      <c r="E379" s="178" t="s">
        <v>70</v>
      </c>
      <c r="F379" s="178" t="s">
        <v>78</v>
      </c>
      <c r="G379" s="178"/>
      <c r="H379" s="178"/>
      <c r="I379" s="178">
        <v>1</v>
      </c>
      <c r="J379" s="180" t="s">
        <v>4</v>
      </c>
    </row>
    <row r="380" ht="14.25" spans="1:10">
      <c r="A380" s="212"/>
      <c r="B380" s="213"/>
      <c r="C380" s="213" t="s">
        <v>72</v>
      </c>
      <c r="D380" s="213" t="s">
        <v>570</v>
      </c>
      <c r="E380" s="213" t="s">
        <v>73</v>
      </c>
      <c r="F380" s="213" t="s">
        <v>74</v>
      </c>
      <c r="G380" s="213"/>
      <c r="H380" s="213"/>
      <c r="I380" s="213">
        <v>2</v>
      </c>
      <c r="J380" s="216" t="s">
        <v>4</v>
      </c>
    </row>
    <row r="382" spans="1:10">
      <c r="A382" s="63" t="s">
        <v>17</v>
      </c>
      <c r="B382" s="64" t="s">
        <v>18</v>
      </c>
      <c r="C382" s="64" t="s">
        <v>105</v>
      </c>
      <c r="D382" s="64" t="s">
        <v>45</v>
      </c>
      <c r="E382" s="64" t="s">
        <v>21</v>
      </c>
      <c r="F382" s="206" t="s">
        <v>46</v>
      </c>
      <c r="G382" s="207"/>
      <c r="H382" s="208"/>
      <c r="I382" s="64" t="s">
        <v>24</v>
      </c>
      <c r="J382" s="50" t="s">
        <v>550</v>
      </c>
    </row>
    <row r="383" ht="14.25" spans="1:10">
      <c r="A383" s="63"/>
      <c r="B383" s="64"/>
      <c r="C383" s="64"/>
      <c r="D383" s="64"/>
      <c r="E383" s="64"/>
      <c r="F383" s="49"/>
      <c r="G383" s="209"/>
      <c r="H383" s="210"/>
      <c r="I383" s="64"/>
      <c r="J383" s="50"/>
    </row>
    <row r="384" spans="1:10">
      <c r="A384" s="171" t="s">
        <v>154</v>
      </c>
      <c r="B384" s="211" t="s">
        <v>392</v>
      </c>
      <c r="C384" s="173" t="s">
        <v>110</v>
      </c>
      <c r="D384" s="173" t="s">
        <v>32</v>
      </c>
      <c r="E384" s="173" t="s">
        <v>115</v>
      </c>
      <c r="F384" s="173" t="s">
        <v>325</v>
      </c>
      <c r="G384" s="173"/>
      <c r="H384" s="173"/>
      <c r="I384" s="173">
        <v>1</v>
      </c>
      <c r="J384" s="214">
        <v>1.3862</v>
      </c>
    </row>
    <row r="385" spans="1:10">
      <c r="A385" s="176"/>
      <c r="B385" s="178"/>
      <c r="C385" s="178" t="s">
        <v>199</v>
      </c>
      <c r="D385" s="178" t="s">
        <v>32</v>
      </c>
      <c r="E385" s="178" t="s">
        <v>115</v>
      </c>
      <c r="F385" s="178" t="s">
        <v>393</v>
      </c>
      <c r="G385" s="178"/>
      <c r="H385" s="178"/>
      <c r="I385" s="178">
        <v>2</v>
      </c>
      <c r="J385" s="215">
        <v>0.1247</v>
      </c>
    </row>
    <row r="386" spans="1:10">
      <c r="A386" s="176"/>
      <c r="B386" s="178"/>
      <c r="C386" s="178" t="s">
        <v>327</v>
      </c>
      <c r="D386" s="178" t="s">
        <v>32</v>
      </c>
      <c r="E386" s="178" t="s">
        <v>115</v>
      </c>
      <c r="F386" s="178" t="s">
        <v>328</v>
      </c>
      <c r="G386" s="178"/>
      <c r="H386" s="178"/>
      <c r="I386" s="178">
        <v>1</v>
      </c>
      <c r="J386" s="215">
        <v>0.0314</v>
      </c>
    </row>
    <row r="387" spans="1:10">
      <c r="A387" s="176"/>
      <c r="B387" s="178"/>
      <c r="C387" s="178" t="s">
        <v>117</v>
      </c>
      <c r="D387" s="178" t="s">
        <v>32</v>
      </c>
      <c r="E387" s="178" t="s">
        <v>115</v>
      </c>
      <c r="F387" s="178" t="s">
        <v>394</v>
      </c>
      <c r="G387" s="178"/>
      <c r="H387" s="178"/>
      <c r="I387" s="178">
        <v>1</v>
      </c>
      <c r="J387" s="215">
        <v>0.6026</v>
      </c>
    </row>
    <row r="388" spans="1:10">
      <c r="A388" s="176"/>
      <c r="B388" s="178"/>
      <c r="C388" s="178" t="s">
        <v>131</v>
      </c>
      <c r="D388" s="178" t="s">
        <v>32</v>
      </c>
      <c r="E388" s="178" t="s">
        <v>111</v>
      </c>
      <c r="F388" s="178" t="s">
        <v>395</v>
      </c>
      <c r="G388" s="178"/>
      <c r="H388" s="178"/>
      <c r="I388" s="178">
        <v>1</v>
      </c>
      <c r="J388" s="215">
        <v>1.464</v>
      </c>
    </row>
    <row r="389" spans="1:10">
      <c r="A389" s="176"/>
      <c r="B389" s="178"/>
      <c r="C389" s="178" t="s">
        <v>114</v>
      </c>
      <c r="D389" s="178" t="s">
        <v>32</v>
      </c>
      <c r="E389" s="178" t="s">
        <v>115</v>
      </c>
      <c r="F389" s="178" t="s">
        <v>396</v>
      </c>
      <c r="G389" s="178"/>
      <c r="H389" s="178"/>
      <c r="I389" s="178">
        <v>1</v>
      </c>
      <c r="J389" s="215">
        <v>1.9679</v>
      </c>
    </row>
    <row r="390" spans="1:10">
      <c r="A390" s="176"/>
      <c r="B390" s="178"/>
      <c r="C390" s="178" t="s">
        <v>180</v>
      </c>
      <c r="D390" s="178" t="s">
        <v>32</v>
      </c>
      <c r="E390" s="178" t="s">
        <v>115</v>
      </c>
      <c r="F390" s="178" t="s">
        <v>397</v>
      </c>
      <c r="G390" s="178"/>
      <c r="H390" s="178"/>
      <c r="I390" s="178">
        <v>2</v>
      </c>
      <c r="J390" s="215">
        <v>0.1662</v>
      </c>
    </row>
    <row r="391" spans="1:10">
      <c r="A391" s="176"/>
      <c r="B391" s="178"/>
      <c r="C391" s="178" t="s">
        <v>129</v>
      </c>
      <c r="D391" s="178" t="s">
        <v>32</v>
      </c>
      <c r="E391" s="178" t="s">
        <v>115</v>
      </c>
      <c r="F391" s="178" t="s">
        <v>398</v>
      </c>
      <c r="G391" s="178"/>
      <c r="H391" s="178"/>
      <c r="I391" s="178">
        <v>1</v>
      </c>
      <c r="J391" s="215">
        <v>0.5974</v>
      </c>
    </row>
    <row r="392" spans="1:10">
      <c r="A392" s="176"/>
      <c r="B392" s="178"/>
      <c r="C392" s="178" t="s">
        <v>114</v>
      </c>
      <c r="D392" s="178" t="s">
        <v>32</v>
      </c>
      <c r="E392" s="178" t="s">
        <v>115</v>
      </c>
      <c r="F392" s="178" t="s">
        <v>399</v>
      </c>
      <c r="G392" s="178"/>
      <c r="H392" s="178"/>
      <c r="I392" s="178">
        <v>1</v>
      </c>
      <c r="J392" s="215">
        <v>0.4406</v>
      </c>
    </row>
    <row r="393" spans="1:10">
      <c r="A393" s="176"/>
      <c r="B393" s="178"/>
      <c r="C393" s="178" t="s">
        <v>142</v>
      </c>
      <c r="D393" s="178" t="s">
        <v>32</v>
      </c>
      <c r="E393" s="178" t="s">
        <v>115</v>
      </c>
      <c r="F393" s="178" t="s">
        <v>394</v>
      </c>
      <c r="G393" s="178"/>
      <c r="H393" s="178"/>
      <c r="I393" s="178">
        <v>1</v>
      </c>
      <c r="J393" s="215">
        <v>0.6026</v>
      </c>
    </row>
    <row r="394" spans="1:10">
      <c r="A394" s="176"/>
      <c r="B394" s="178"/>
      <c r="C394" s="178" t="s">
        <v>223</v>
      </c>
      <c r="D394" s="178" t="s">
        <v>32</v>
      </c>
      <c r="E394" s="178" t="s">
        <v>115</v>
      </c>
      <c r="F394" s="178" t="s">
        <v>325</v>
      </c>
      <c r="G394" s="178"/>
      <c r="H394" s="178"/>
      <c r="I394" s="178">
        <v>1</v>
      </c>
      <c r="J394" s="215">
        <v>1.3862</v>
      </c>
    </row>
    <row r="395" spans="1:10">
      <c r="A395" s="176"/>
      <c r="B395" s="178"/>
      <c r="C395" s="178" t="s">
        <v>145</v>
      </c>
      <c r="D395" s="178" t="s">
        <v>32</v>
      </c>
      <c r="E395" s="178" t="s">
        <v>115</v>
      </c>
      <c r="F395" s="178" t="s">
        <v>400</v>
      </c>
      <c r="G395" s="178"/>
      <c r="H395" s="178"/>
      <c r="I395" s="178">
        <v>1</v>
      </c>
      <c r="J395" s="215">
        <v>0.0538</v>
      </c>
    </row>
    <row r="396" spans="1:10">
      <c r="A396" s="176"/>
      <c r="B396" s="178"/>
      <c r="C396" s="178" t="s">
        <v>146</v>
      </c>
      <c r="D396" s="178" t="s">
        <v>32</v>
      </c>
      <c r="E396" s="178" t="s">
        <v>115</v>
      </c>
      <c r="F396" s="178" t="s">
        <v>401</v>
      </c>
      <c r="G396" s="178"/>
      <c r="H396" s="178"/>
      <c r="I396" s="178">
        <v>1</v>
      </c>
      <c r="J396" s="215">
        <v>0.086</v>
      </c>
    </row>
    <row r="397" spans="1:10">
      <c r="A397" s="176"/>
      <c r="B397" s="178"/>
      <c r="C397" s="178" t="s">
        <v>35</v>
      </c>
      <c r="D397" s="178" t="s">
        <v>32</v>
      </c>
      <c r="E397" s="178" t="s">
        <v>111</v>
      </c>
      <c r="F397" s="178" t="s">
        <v>389</v>
      </c>
      <c r="G397" s="178"/>
      <c r="H397" s="178"/>
      <c r="I397" s="178">
        <v>1</v>
      </c>
      <c r="J397" s="215">
        <v>0.7859</v>
      </c>
    </row>
    <row r="398" spans="1:10">
      <c r="A398" s="176"/>
      <c r="B398" s="178"/>
      <c r="C398" s="178" t="s">
        <v>35</v>
      </c>
      <c r="D398" s="178" t="s">
        <v>32</v>
      </c>
      <c r="E398" s="178" t="s">
        <v>111</v>
      </c>
      <c r="F398" s="178" t="s">
        <v>390</v>
      </c>
      <c r="G398" s="178"/>
      <c r="H398" s="178"/>
      <c r="I398" s="178">
        <v>1</v>
      </c>
      <c r="J398" s="215">
        <v>0.3488</v>
      </c>
    </row>
    <row r="399" spans="1:10">
      <c r="A399" s="176"/>
      <c r="B399" s="178"/>
      <c r="C399" s="178" t="s">
        <v>47</v>
      </c>
      <c r="D399" s="178" t="s">
        <v>570</v>
      </c>
      <c r="E399" s="178" t="s">
        <v>48</v>
      </c>
      <c r="F399" s="178" t="s">
        <v>49</v>
      </c>
      <c r="G399" s="178"/>
      <c r="H399" s="178"/>
      <c r="I399" s="178">
        <v>56</v>
      </c>
      <c r="J399" s="180" t="s">
        <v>4</v>
      </c>
    </row>
    <row r="400" spans="1:10">
      <c r="A400" s="176"/>
      <c r="B400" s="178"/>
      <c r="C400" s="178" t="s">
        <v>55</v>
      </c>
      <c r="D400" s="178" t="s">
        <v>570</v>
      </c>
      <c r="E400" s="178" t="s">
        <v>56</v>
      </c>
      <c r="F400" s="178" t="s">
        <v>57</v>
      </c>
      <c r="G400" s="178"/>
      <c r="H400" s="178"/>
      <c r="I400" s="178">
        <v>6</v>
      </c>
      <c r="J400" s="180" t="s">
        <v>4</v>
      </c>
    </row>
    <row r="401" spans="1:10">
      <c r="A401" s="176"/>
      <c r="B401" s="178"/>
      <c r="C401" s="178" t="s">
        <v>151</v>
      </c>
      <c r="D401" s="178" t="s">
        <v>570</v>
      </c>
      <c r="E401" s="178" t="s">
        <v>56</v>
      </c>
      <c r="F401" s="178" t="s">
        <v>152</v>
      </c>
      <c r="G401" s="178"/>
      <c r="H401" s="178"/>
      <c r="I401" s="178">
        <v>2</v>
      </c>
      <c r="J401" s="180" t="s">
        <v>4</v>
      </c>
    </row>
    <row r="402" spans="1:10">
      <c r="A402" s="176"/>
      <c r="B402" s="178"/>
      <c r="C402" s="178" t="s">
        <v>69</v>
      </c>
      <c r="D402" s="178" t="s">
        <v>570</v>
      </c>
      <c r="E402" s="178" t="s">
        <v>70</v>
      </c>
      <c r="F402" s="178" t="s">
        <v>79</v>
      </c>
      <c r="G402" s="178"/>
      <c r="H402" s="178"/>
      <c r="I402" s="178">
        <v>1</v>
      </c>
      <c r="J402" s="180" t="s">
        <v>4</v>
      </c>
    </row>
    <row r="403" ht="14.25" spans="1:10">
      <c r="A403" s="212"/>
      <c r="B403" s="213"/>
      <c r="C403" s="213" t="s">
        <v>72</v>
      </c>
      <c r="D403" s="213" t="s">
        <v>570</v>
      </c>
      <c r="E403" s="213" t="s">
        <v>73</v>
      </c>
      <c r="F403" s="213" t="s">
        <v>74</v>
      </c>
      <c r="G403" s="213"/>
      <c r="H403" s="213"/>
      <c r="I403" s="213">
        <v>2</v>
      </c>
      <c r="J403" s="216" t="s">
        <v>4</v>
      </c>
    </row>
    <row r="405" spans="1:10">
      <c r="A405" s="63" t="s">
        <v>17</v>
      </c>
      <c r="B405" s="64" t="s">
        <v>18</v>
      </c>
      <c r="C405" s="64" t="s">
        <v>105</v>
      </c>
      <c r="D405" s="64" t="s">
        <v>45</v>
      </c>
      <c r="E405" s="64" t="s">
        <v>21</v>
      </c>
      <c r="F405" s="206" t="s">
        <v>46</v>
      </c>
      <c r="G405" s="207"/>
      <c r="H405" s="208"/>
      <c r="I405" s="64" t="s">
        <v>24</v>
      </c>
      <c r="J405" s="50" t="s">
        <v>550</v>
      </c>
    </row>
    <row r="406" ht="14.25" spans="1:10">
      <c r="A406" s="63"/>
      <c r="B406" s="64"/>
      <c r="C406" s="64"/>
      <c r="D406" s="64"/>
      <c r="E406" s="64"/>
      <c r="F406" s="49"/>
      <c r="G406" s="209"/>
      <c r="H406" s="210"/>
      <c r="I406" s="64"/>
      <c r="J406" s="50"/>
    </row>
    <row r="407" spans="1:10">
      <c r="A407" s="171" t="s">
        <v>196</v>
      </c>
      <c r="B407" s="211" t="s">
        <v>403</v>
      </c>
      <c r="C407" s="173" t="s">
        <v>110</v>
      </c>
      <c r="D407" s="173" t="s">
        <v>32</v>
      </c>
      <c r="E407" s="173" t="s">
        <v>111</v>
      </c>
      <c r="F407" s="173" t="s">
        <v>395</v>
      </c>
      <c r="G407" s="173"/>
      <c r="H407" s="173"/>
      <c r="I407" s="173">
        <v>1</v>
      </c>
      <c r="J407" s="214">
        <v>1.464</v>
      </c>
    </row>
    <row r="408" spans="1:10">
      <c r="A408" s="176"/>
      <c r="B408" s="178"/>
      <c r="C408" s="178" t="s">
        <v>199</v>
      </c>
      <c r="D408" s="178" t="s">
        <v>32</v>
      </c>
      <c r="E408" s="178" t="s">
        <v>115</v>
      </c>
      <c r="F408" s="178" t="s">
        <v>404</v>
      </c>
      <c r="G408" s="178"/>
      <c r="H408" s="178"/>
      <c r="I408" s="178">
        <v>2</v>
      </c>
      <c r="J408" s="215">
        <v>0.0893</v>
      </c>
    </row>
    <row r="409" spans="1:10">
      <c r="A409" s="176"/>
      <c r="B409" s="178"/>
      <c r="C409" s="178" t="s">
        <v>117</v>
      </c>
      <c r="D409" s="178" t="s">
        <v>32</v>
      </c>
      <c r="E409" s="178" t="s">
        <v>115</v>
      </c>
      <c r="F409" s="178" t="s">
        <v>405</v>
      </c>
      <c r="G409" s="178"/>
      <c r="H409" s="178"/>
      <c r="I409" s="178">
        <v>1</v>
      </c>
      <c r="J409" s="215">
        <v>0.4315</v>
      </c>
    </row>
    <row r="410" spans="1:10">
      <c r="A410" s="176"/>
      <c r="B410" s="178"/>
      <c r="C410" s="178" t="s">
        <v>114</v>
      </c>
      <c r="D410" s="178" t="s">
        <v>32</v>
      </c>
      <c r="E410" s="178" t="s">
        <v>115</v>
      </c>
      <c r="F410" s="178" t="s">
        <v>406</v>
      </c>
      <c r="G410" s="178"/>
      <c r="H410" s="178"/>
      <c r="I410" s="178">
        <v>1</v>
      </c>
      <c r="J410" s="215">
        <v>0.5165</v>
      </c>
    </row>
    <row r="411" spans="1:10">
      <c r="A411" s="176"/>
      <c r="B411" s="178"/>
      <c r="C411" s="178" t="s">
        <v>129</v>
      </c>
      <c r="D411" s="178" t="s">
        <v>32</v>
      </c>
      <c r="E411" s="178" t="s">
        <v>115</v>
      </c>
      <c r="F411" s="178" t="s">
        <v>405</v>
      </c>
      <c r="G411" s="178"/>
      <c r="H411" s="178"/>
      <c r="I411" s="178">
        <v>1</v>
      </c>
      <c r="J411" s="215">
        <v>0.4315</v>
      </c>
    </row>
    <row r="412" spans="1:10">
      <c r="A412" s="176"/>
      <c r="B412" s="178"/>
      <c r="C412" s="178" t="s">
        <v>114</v>
      </c>
      <c r="D412" s="178" t="s">
        <v>32</v>
      </c>
      <c r="E412" s="178" t="s">
        <v>115</v>
      </c>
      <c r="F412" s="178" t="s">
        <v>407</v>
      </c>
      <c r="G412" s="178"/>
      <c r="H412" s="178"/>
      <c r="I412" s="178">
        <v>1</v>
      </c>
      <c r="J412" s="215">
        <v>0.892</v>
      </c>
    </row>
    <row r="413" spans="1:10">
      <c r="A413" s="176"/>
      <c r="B413" s="178"/>
      <c r="C413" s="178" t="s">
        <v>180</v>
      </c>
      <c r="D413" s="178" t="s">
        <v>32</v>
      </c>
      <c r="E413" s="178" t="s">
        <v>115</v>
      </c>
      <c r="F413" s="178" t="s">
        <v>408</v>
      </c>
      <c r="G413" s="178"/>
      <c r="H413" s="178"/>
      <c r="I413" s="178">
        <v>1</v>
      </c>
      <c r="J413" s="215">
        <v>0.0595</v>
      </c>
    </row>
    <row r="414" spans="1:10">
      <c r="A414" s="176"/>
      <c r="B414" s="178"/>
      <c r="C414" s="178" t="s">
        <v>129</v>
      </c>
      <c r="D414" s="178" t="s">
        <v>32</v>
      </c>
      <c r="E414" s="178" t="s">
        <v>115</v>
      </c>
      <c r="F414" s="178" t="s">
        <v>409</v>
      </c>
      <c r="G414" s="178"/>
      <c r="H414" s="178"/>
      <c r="I414" s="178">
        <v>1</v>
      </c>
      <c r="J414" s="215">
        <v>0.4278</v>
      </c>
    </row>
    <row r="415" spans="1:10">
      <c r="A415" s="176"/>
      <c r="B415" s="178"/>
      <c r="C415" s="178" t="s">
        <v>114</v>
      </c>
      <c r="D415" s="178" t="s">
        <v>32</v>
      </c>
      <c r="E415" s="178" t="s">
        <v>115</v>
      </c>
      <c r="F415" s="178" t="s">
        <v>410</v>
      </c>
      <c r="G415" s="178"/>
      <c r="H415" s="178"/>
      <c r="I415" s="178">
        <v>1</v>
      </c>
      <c r="J415" s="215">
        <v>0.3167</v>
      </c>
    </row>
    <row r="416" spans="1:10">
      <c r="A416" s="176"/>
      <c r="B416" s="178"/>
      <c r="C416" s="178" t="s">
        <v>142</v>
      </c>
      <c r="D416" s="178" t="s">
        <v>32</v>
      </c>
      <c r="E416" s="178" t="s">
        <v>115</v>
      </c>
      <c r="F416" s="178" t="s">
        <v>405</v>
      </c>
      <c r="G416" s="178"/>
      <c r="H416" s="178"/>
      <c r="I416" s="178">
        <v>1</v>
      </c>
      <c r="J416" s="215">
        <v>0.4315</v>
      </c>
    </row>
    <row r="417" spans="1:10">
      <c r="A417" s="176"/>
      <c r="B417" s="178"/>
      <c r="C417" s="178" t="s">
        <v>145</v>
      </c>
      <c r="D417" s="178" t="s">
        <v>32</v>
      </c>
      <c r="E417" s="178" t="s">
        <v>115</v>
      </c>
      <c r="F417" s="178" t="s">
        <v>411</v>
      </c>
      <c r="G417" s="178"/>
      <c r="H417" s="178"/>
      <c r="I417" s="178">
        <v>1</v>
      </c>
      <c r="J417" s="215">
        <v>0.0372</v>
      </c>
    </row>
    <row r="418" spans="1:10">
      <c r="A418" s="176"/>
      <c r="B418" s="178"/>
      <c r="C418" s="178" t="s">
        <v>146</v>
      </c>
      <c r="D418" s="178" t="s">
        <v>32</v>
      </c>
      <c r="E418" s="178" t="s">
        <v>115</v>
      </c>
      <c r="F418" s="178" t="s">
        <v>408</v>
      </c>
      <c r="G418" s="178"/>
      <c r="H418" s="178"/>
      <c r="I418" s="178">
        <v>1</v>
      </c>
      <c r="J418" s="215">
        <v>0.0595</v>
      </c>
    </row>
    <row r="419" spans="1:10">
      <c r="A419" s="176"/>
      <c r="B419" s="178"/>
      <c r="C419" s="178" t="s">
        <v>223</v>
      </c>
      <c r="D419" s="178" t="s">
        <v>32</v>
      </c>
      <c r="E419" s="178" t="s">
        <v>111</v>
      </c>
      <c r="F419" s="178" t="s">
        <v>395</v>
      </c>
      <c r="G419" s="178"/>
      <c r="H419" s="178"/>
      <c r="I419" s="178">
        <v>1</v>
      </c>
      <c r="J419" s="215">
        <v>1.464</v>
      </c>
    </row>
    <row r="420" spans="1:10">
      <c r="A420" s="176"/>
      <c r="B420" s="178"/>
      <c r="C420" s="178" t="s">
        <v>31</v>
      </c>
      <c r="D420" s="178" t="s">
        <v>32</v>
      </c>
      <c r="E420" s="178" t="s">
        <v>111</v>
      </c>
      <c r="F420" s="178" t="s">
        <v>412</v>
      </c>
      <c r="G420" s="178"/>
      <c r="H420" s="178"/>
      <c r="I420" s="178">
        <v>1</v>
      </c>
      <c r="J420" s="215">
        <v>0.2727</v>
      </c>
    </row>
    <row r="421" spans="1:10">
      <c r="A421" s="176"/>
      <c r="B421" s="178"/>
      <c r="C421" s="178" t="s">
        <v>35</v>
      </c>
      <c r="D421" s="178" t="s">
        <v>32</v>
      </c>
      <c r="E421" s="178" t="s">
        <v>111</v>
      </c>
      <c r="F421" s="178" t="s">
        <v>412</v>
      </c>
      <c r="G421" s="178"/>
      <c r="H421" s="178"/>
      <c r="I421" s="178">
        <v>1</v>
      </c>
      <c r="J421" s="215">
        <v>0.2727</v>
      </c>
    </row>
    <row r="422" spans="1:10">
      <c r="A422" s="176"/>
      <c r="B422" s="178"/>
      <c r="C422" s="178" t="s">
        <v>31</v>
      </c>
      <c r="D422" s="178" t="s">
        <v>32</v>
      </c>
      <c r="E422" s="178" t="s">
        <v>111</v>
      </c>
      <c r="F422" s="178" t="s">
        <v>413</v>
      </c>
      <c r="G422" s="178"/>
      <c r="H422" s="178"/>
      <c r="I422" s="178">
        <v>1</v>
      </c>
      <c r="J422" s="215">
        <v>0.6144</v>
      </c>
    </row>
    <row r="423" spans="1:10">
      <c r="A423" s="176"/>
      <c r="B423" s="178"/>
      <c r="C423" s="178" t="s">
        <v>35</v>
      </c>
      <c r="D423" s="178" t="s">
        <v>32</v>
      </c>
      <c r="E423" s="178" t="s">
        <v>111</v>
      </c>
      <c r="F423" s="178" t="s">
        <v>413</v>
      </c>
      <c r="G423" s="178"/>
      <c r="H423" s="178"/>
      <c r="I423" s="178">
        <v>1</v>
      </c>
      <c r="J423" s="215">
        <v>0.6144</v>
      </c>
    </row>
    <row r="424" spans="1:10">
      <c r="A424" s="176"/>
      <c r="B424" s="178"/>
      <c r="C424" s="178" t="s">
        <v>47</v>
      </c>
      <c r="D424" s="178" t="s">
        <v>570</v>
      </c>
      <c r="E424" s="178" t="s">
        <v>48</v>
      </c>
      <c r="F424" s="178" t="s">
        <v>49</v>
      </c>
      <c r="G424" s="178"/>
      <c r="H424" s="178"/>
      <c r="I424" s="178">
        <v>37</v>
      </c>
      <c r="J424" s="180" t="s">
        <v>4</v>
      </c>
    </row>
    <row r="425" spans="1:10">
      <c r="A425" s="176"/>
      <c r="B425" s="178"/>
      <c r="C425" s="178" t="s">
        <v>55</v>
      </c>
      <c r="D425" s="178" t="s">
        <v>570</v>
      </c>
      <c r="E425" s="178" t="s">
        <v>56</v>
      </c>
      <c r="F425" s="178" t="s">
        <v>65</v>
      </c>
      <c r="G425" s="178"/>
      <c r="H425" s="178"/>
      <c r="I425" s="178">
        <v>6</v>
      </c>
      <c r="J425" s="180" t="s">
        <v>4</v>
      </c>
    </row>
    <row r="426" spans="1:10">
      <c r="A426" s="176"/>
      <c r="B426" s="178"/>
      <c r="C426" s="178" t="s">
        <v>151</v>
      </c>
      <c r="D426" s="178" t="s">
        <v>570</v>
      </c>
      <c r="E426" s="178" t="s">
        <v>56</v>
      </c>
      <c r="F426" s="178" t="s">
        <v>152</v>
      </c>
      <c r="G426" s="178"/>
      <c r="H426" s="178"/>
      <c r="I426" s="178">
        <v>4</v>
      </c>
      <c r="J426" s="180" t="s">
        <v>4</v>
      </c>
    </row>
    <row r="427" spans="1:10">
      <c r="A427" s="176"/>
      <c r="B427" s="178"/>
      <c r="C427" s="178" t="s">
        <v>55</v>
      </c>
      <c r="D427" s="178" t="s">
        <v>570</v>
      </c>
      <c r="E427" s="178" t="s">
        <v>56</v>
      </c>
      <c r="F427" s="178" t="s">
        <v>57</v>
      </c>
      <c r="G427" s="178"/>
      <c r="H427" s="178"/>
      <c r="I427" s="178">
        <v>6</v>
      </c>
      <c r="J427" s="180" t="s">
        <v>4</v>
      </c>
    </row>
    <row r="428" spans="1:10">
      <c r="A428" s="176"/>
      <c r="B428" s="178"/>
      <c r="C428" s="178" t="s">
        <v>69</v>
      </c>
      <c r="D428" s="178" t="s">
        <v>570</v>
      </c>
      <c r="E428" s="178" t="s">
        <v>70</v>
      </c>
      <c r="F428" s="178" t="s">
        <v>80</v>
      </c>
      <c r="G428" s="178"/>
      <c r="H428" s="178"/>
      <c r="I428" s="178">
        <v>1</v>
      </c>
      <c r="J428" s="180" t="s">
        <v>4</v>
      </c>
    </row>
    <row r="429" ht="14.25" spans="1:10">
      <c r="A429" s="212"/>
      <c r="B429" s="213"/>
      <c r="C429" s="213" t="s">
        <v>72</v>
      </c>
      <c r="D429" s="213" t="s">
        <v>570</v>
      </c>
      <c r="E429" s="213" t="s">
        <v>73</v>
      </c>
      <c r="F429" s="213" t="s">
        <v>74</v>
      </c>
      <c r="G429" s="213"/>
      <c r="H429" s="213"/>
      <c r="I429" s="213">
        <v>2</v>
      </c>
      <c r="J429" s="216" t="s">
        <v>4</v>
      </c>
    </row>
    <row r="431" spans="1:10">
      <c r="A431" s="63" t="s">
        <v>17</v>
      </c>
      <c r="B431" s="64" t="s">
        <v>18</v>
      </c>
      <c r="C431" s="64" t="s">
        <v>105</v>
      </c>
      <c r="D431" s="64" t="s">
        <v>45</v>
      </c>
      <c r="E431" s="64" t="s">
        <v>21</v>
      </c>
      <c r="F431" s="206" t="s">
        <v>46</v>
      </c>
      <c r="G431" s="207"/>
      <c r="H431" s="208"/>
      <c r="I431" s="64" t="s">
        <v>24</v>
      </c>
      <c r="J431" s="50" t="s">
        <v>550</v>
      </c>
    </row>
    <row r="432" ht="14.25" spans="1:10">
      <c r="A432" s="63"/>
      <c r="B432" s="64"/>
      <c r="C432" s="64"/>
      <c r="D432" s="64"/>
      <c r="E432" s="64"/>
      <c r="F432" s="49"/>
      <c r="G432" s="209"/>
      <c r="H432" s="210"/>
      <c r="I432" s="64"/>
      <c r="J432" s="50"/>
    </row>
    <row r="433" spans="1:10">
      <c r="A433" s="171" t="s">
        <v>108</v>
      </c>
      <c r="B433" s="211" t="s">
        <v>415</v>
      </c>
      <c r="C433" s="173" t="s">
        <v>110</v>
      </c>
      <c r="D433" s="173" t="s">
        <v>32</v>
      </c>
      <c r="E433" s="173" t="s">
        <v>111</v>
      </c>
      <c r="F433" s="173" t="s">
        <v>416</v>
      </c>
      <c r="G433" s="173"/>
      <c r="H433" s="173"/>
      <c r="I433" s="173">
        <v>1</v>
      </c>
      <c r="J433" s="214">
        <v>0.7242</v>
      </c>
    </row>
    <row r="434" spans="1:10">
      <c r="A434" s="176"/>
      <c r="B434" s="178"/>
      <c r="C434" s="178" t="s">
        <v>131</v>
      </c>
      <c r="D434" s="178" t="s">
        <v>32</v>
      </c>
      <c r="E434" s="178" t="s">
        <v>111</v>
      </c>
      <c r="F434" s="178" t="s">
        <v>417</v>
      </c>
      <c r="G434" s="178"/>
      <c r="H434" s="178"/>
      <c r="I434" s="178">
        <v>2</v>
      </c>
      <c r="J434" s="215">
        <v>0.2455</v>
      </c>
    </row>
    <row r="435" spans="1:10">
      <c r="A435" s="176"/>
      <c r="B435" s="178"/>
      <c r="C435" s="178" t="s">
        <v>110</v>
      </c>
      <c r="D435" s="178" t="s">
        <v>32</v>
      </c>
      <c r="E435" s="178" t="s">
        <v>115</v>
      </c>
      <c r="F435" s="178" t="s">
        <v>418</v>
      </c>
      <c r="G435" s="178"/>
      <c r="H435" s="178"/>
      <c r="I435" s="178">
        <v>1</v>
      </c>
      <c r="J435" s="215">
        <v>0.7095</v>
      </c>
    </row>
    <row r="436" spans="1:10">
      <c r="A436" s="176"/>
      <c r="B436" s="178"/>
      <c r="C436" s="178" t="s">
        <v>199</v>
      </c>
      <c r="D436" s="178" t="s">
        <v>32</v>
      </c>
      <c r="E436" s="178" t="s">
        <v>115</v>
      </c>
      <c r="F436" s="178" t="s">
        <v>419</v>
      </c>
      <c r="G436" s="178"/>
      <c r="H436" s="178"/>
      <c r="I436" s="178">
        <v>2</v>
      </c>
      <c r="J436" s="215">
        <v>0.048</v>
      </c>
    </row>
    <row r="437" spans="1:10">
      <c r="A437" s="176"/>
      <c r="B437" s="178"/>
      <c r="C437" s="178" t="s">
        <v>117</v>
      </c>
      <c r="D437" s="178" t="s">
        <v>32</v>
      </c>
      <c r="E437" s="178" t="s">
        <v>115</v>
      </c>
      <c r="F437" s="178" t="s">
        <v>420</v>
      </c>
      <c r="G437" s="178"/>
      <c r="H437" s="178"/>
      <c r="I437" s="178">
        <v>1</v>
      </c>
      <c r="J437" s="215">
        <v>0.118</v>
      </c>
    </row>
    <row r="438" spans="1:10">
      <c r="A438" s="176"/>
      <c r="B438" s="178"/>
      <c r="C438" s="178" t="s">
        <v>114</v>
      </c>
      <c r="D438" s="178" t="s">
        <v>32</v>
      </c>
      <c r="E438" s="178" t="s">
        <v>115</v>
      </c>
      <c r="F438" s="178" t="s">
        <v>421</v>
      </c>
      <c r="G438" s="178"/>
      <c r="H438" s="178"/>
      <c r="I438" s="178">
        <v>3</v>
      </c>
      <c r="J438" s="215">
        <v>0.5387</v>
      </c>
    </row>
    <row r="439" spans="1:10">
      <c r="A439" s="176"/>
      <c r="B439" s="178"/>
      <c r="C439" s="178" t="s">
        <v>129</v>
      </c>
      <c r="D439" s="178" t="s">
        <v>32</v>
      </c>
      <c r="E439" s="178" t="s">
        <v>115</v>
      </c>
      <c r="F439" s="178" t="s">
        <v>422</v>
      </c>
      <c r="G439" s="178"/>
      <c r="H439" s="178"/>
      <c r="I439" s="178">
        <v>3</v>
      </c>
      <c r="J439" s="215">
        <v>0.348</v>
      </c>
    </row>
    <row r="440" spans="1:10">
      <c r="A440" s="176"/>
      <c r="B440" s="178"/>
      <c r="C440" s="178" t="s">
        <v>129</v>
      </c>
      <c r="D440" s="178" t="s">
        <v>32</v>
      </c>
      <c r="E440" s="178" t="s">
        <v>115</v>
      </c>
      <c r="F440" s="178" t="s">
        <v>420</v>
      </c>
      <c r="G440" s="178"/>
      <c r="H440" s="178"/>
      <c r="I440" s="178">
        <v>1</v>
      </c>
      <c r="J440" s="215">
        <v>0.118</v>
      </c>
    </row>
    <row r="441" spans="1:10">
      <c r="A441" s="176"/>
      <c r="B441" s="178"/>
      <c r="C441" s="178" t="s">
        <v>114</v>
      </c>
      <c r="D441" s="178" t="s">
        <v>32</v>
      </c>
      <c r="E441" s="178" t="s">
        <v>115</v>
      </c>
      <c r="F441" s="178" t="s">
        <v>423</v>
      </c>
      <c r="G441" s="178"/>
      <c r="H441" s="178"/>
      <c r="I441" s="178">
        <v>1</v>
      </c>
      <c r="J441" s="215">
        <v>0.1993</v>
      </c>
    </row>
    <row r="442" spans="1:10">
      <c r="A442" s="176"/>
      <c r="B442" s="178"/>
      <c r="C442" s="178" t="s">
        <v>114</v>
      </c>
      <c r="D442" s="178" t="s">
        <v>32</v>
      </c>
      <c r="E442" s="178" t="s">
        <v>115</v>
      </c>
      <c r="F442" s="178" t="s">
        <v>424</v>
      </c>
      <c r="G442" s="178"/>
      <c r="H442" s="178"/>
      <c r="I442" s="178">
        <v>1</v>
      </c>
      <c r="J442" s="215">
        <v>0.1997</v>
      </c>
    </row>
    <row r="443" spans="1:10">
      <c r="A443" s="176"/>
      <c r="B443" s="178"/>
      <c r="C443" s="178" t="s">
        <v>221</v>
      </c>
      <c r="D443" s="178" t="s">
        <v>32</v>
      </c>
      <c r="E443" s="178" t="s">
        <v>115</v>
      </c>
      <c r="F443" s="178" t="s">
        <v>425</v>
      </c>
      <c r="G443" s="178"/>
      <c r="H443" s="178"/>
      <c r="I443" s="178">
        <v>1</v>
      </c>
      <c r="J443" s="215">
        <v>0.7042</v>
      </c>
    </row>
    <row r="444" spans="1:10">
      <c r="A444" s="176"/>
      <c r="B444" s="178"/>
      <c r="C444" s="178" t="s">
        <v>117</v>
      </c>
      <c r="D444" s="178" t="s">
        <v>32</v>
      </c>
      <c r="E444" s="178" t="s">
        <v>115</v>
      </c>
      <c r="F444" s="178" t="s">
        <v>426</v>
      </c>
      <c r="G444" s="178"/>
      <c r="H444" s="178"/>
      <c r="I444" s="178">
        <v>1</v>
      </c>
      <c r="J444" s="215">
        <v>0.5848</v>
      </c>
    </row>
    <row r="445" spans="1:10">
      <c r="A445" s="176"/>
      <c r="B445" s="178"/>
      <c r="C445" s="178" t="s">
        <v>114</v>
      </c>
      <c r="D445" s="178" t="s">
        <v>32</v>
      </c>
      <c r="E445" s="178" t="s">
        <v>115</v>
      </c>
      <c r="F445" s="178" t="s">
        <v>427</v>
      </c>
      <c r="G445" s="178"/>
      <c r="H445" s="178"/>
      <c r="I445" s="178">
        <v>1</v>
      </c>
      <c r="J445" s="215">
        <v>1.3756</v>
      </c>
    </row>
    <row r="446" spans="1:10">
      <c r="A446" s="176"/>
      <c r="B446" s="178"/>
      <c r="C446" s="178" t="s">
        <v>114</v>
      </c>
      <c r="D446" s="178" t="s">
        <v>32</v>
      </c>
      <c r="E446" s="178" t="s">
        <v>115</v>
      </c>
      <c r="F446" s="178" t="s">
        <v>428</v>
      </c>
      <c r="G446" s="178"/>
      <c r="H446" s="178"/>
      <c r="I446" s="178">
        <v>1</v>
      </c>
      <c r="J446" s="215">
        <v>1.377</v>
      </c>
    </row>
    <row r="447" spans="1:10">
      <c r="A447" s="176"/>
      <c r="B447" s="178"/>
      <c r="C447" s="178" t="s">
        <v>129</v>
      </c>
      <c r="D447" s="178" t="s">
        <v>32</v>
      </c>
      <c r="E447" s="178" t="s">
        <v>115</v>
      </c>
      <c r="F447" s="178" t="s">
        <v>429</v>
      </c>
      <c r="G447" s="178"/>
      <c r="H447" s="178"/>
      <c r="I447" s="178">
        <v>1</v>
      </c>
      <c r="J447" s="215">
        <v>0.5809</v>
      </c>
    </row>
    <row r="448" spans="1:10">
      <c r="A448" s="176"/>
      <c r="B448" s="178"/>
      <c r="C448" s="178" t="s">
        <v>114</v>
      </c>
      <c r="D448" s="178" t="s">
        <v>32</v>
      </c>
      <c r="E448" s="178" t="s">
        <v>115</v>
      </c>
      <c r="F448" s="178" t="s">
        <v>430</v>
      </c>
      <c r="G448" s="178"/>
      <c r="H448" s="178"/>
      <c r="I448" s="178">
        <v>2</v>
      </c>
      <c r="J448" s="215">
        <v>0.6324</v>
      </c>
    </row>
    <row r="449" spans="1:10">
      <c r="A449" s="176"/>
      <c r="B449" s="178"/>
      <c r="C449" s="178" t="s">
        <v>129</v>
      </c>
      <c r="D449" s="178" t="s">
        <v>32</v>
      </c>
      <c r="E449" s="178" t="s">
        <v>115</v>
      </c>
      <c r="F449" s="178" t="s">
        <v>431</v>
      </c>
      <c r="G449" s="178"/>
      <c r="H449" s="178"/>
      <c r="I449" s="178">
        <v>2</v>
      </c>
      <c r="J449" s="215">
        <v>0.5655</v>
      </c>
    </row>
    <row r="450" spans="1:10">
      <c r="A450" s="176"/>
      <c r="B450" s="178"/>
      <c r="C450" s="178" t="s">
        <v>114</v>
      </c>
      <c r="D450" s="178" t="s">
        <v>32</v>
      </c>
      <c r="E450" s="178" t="s">
        <v>115</v>
      </c>
      <c r="F450" s="178" t="s">
        <v>432</v>
      </c>
      <c r="G450" s="178"/>
      <c r="H450" s="178"/>
      <c r="I450" s="178">
        <v>1</v>
      </c>
      <c r="J450" s="215">
        <v>0.3182</v>
      </c>
    </row>
    <row r="451" spans="1:10">
      <c r="A451" s="176"/>
      <c r="B451" s="178"/>
      <c r="C451" s="178" t="s">
        <v>221</v>
      </c>
      <c r="D451" s="178" t="s">
        <v>32</v>
      </c>
      <c r="E451" s="178" t="s">
        <v>115</v>
      </c>
      <c r="F451" s="178" t="s">
        <v>433</v>
      </c>
      <c r="G451" s="178"/>
      <c r="H451" s="178"/>
      <c r="I451" s="178">
        <v>1</v>
      </c>
      <c r="J451" s="215">
        <v>0.2864</v>
      </c>
    </row>
    <row r="452" spans="1:10">
      <c r="A452" s="176"/>
      <c r="B452" s="178"/>
      <c r="C452" s="178" t="s">
        <v>114</v>
      </c>
      <c r="D452" s="178" t="s">
        <v>32</v>
      </c>
      <c r="E452" s="178" t="s">
        <v>115</v>
      </c>
      <c r="F452" s="178" t="s">
        <v>434</v>
      </c>
      <c r="G452" s="178"/>
      <c r="H452" s="178"/>
      <c r="I452" s="178">
        <v>2</v>
      </c>
      <c r="J452" s="215">
        <v>0.633</v>
      </c>
    </row>
    <row r="453" spans="1:10">
      <c r="A453" s="176"/>
      <c r="B453" s="178"/>
      <c r="C453" s="178" t="s">
        <v>129</v>
      </c>
      <c r="D453" s="178" t="s">
        <v>32</v>
      </c>
      <c r="E453" s="178" t="s">
        <v>115</v>
      </c>
      <c r="F453" s="178" t="s">
        <v>435</v>
      </c>
      <c r="G453" s="178"/>
      <c r="H453" s="178"/>
      <c r="I453" s="178">
        <v>2</v>
      </c>
      <c r="J453" s="215">
        <v>0.5661</v>
      </c>
    </row>
    <row r="454" spans="1:10">
      <c r="A454" s="176"/>
      <c r="B454" s="178"/>
      <c r="C454" s="178" t="s">
        <v>114</v>
      </c>
      <c r="D454" s="178" t="s">
        <v>32</v>
      </c>
      <c r="E454" s="178" t="s">
        <v>115</v>
      </c>
      <c r="F454" s="178" t="s">
        <v>436</v>
      </c>
      <c r="G454" s="178"/>
      <c r="H454" s="178"/>
      <c r="I454" s="178">
        <v>1</v>
      </c>
      <c r="J454" s="215">
        <v>0.3185</v>
      </c>
    </row>
    <row r="455" spans="1:10">
      <c r="A455" s="176"/>
      <c r="B455" s="178"/>
      <c r="C455" s="178" t="s">
        <v>142</v>
      </c>
      <c r="D455" s="178" t="s">
        <v>32</v>
      </c>
      <c r="E455" s="178" t="s">
        <v>115</v>
      </c>
      <c r="F455" s="178" t="s">
        <v>425</v>
      </c>
      <c r="G455" s="178"/>
      <c r="H455" s="178"/>
      <c r="I455" s="178">
        <v>1</v>
      </c>
      <c r="J455" s="215">
        <v>0.7042</v>
      </c>
    </row>
    <row r="456" spans="1:10">
      <c r="A456" s="176"/>
      <c r="B456" s="178"/>
      <c r="C456" s="178" t="s">
        <v>223</v>
      </c>
      <c r="D456" s="178" t="s">
        <v>32</v>
      </c>
      <c r="E456" s="178" t="s">
        <v>115</v>
      </c>
      <c r="F456" s="178" t="s">
        <v>418</v>
      </c>
      <c r="G456" s="178"/>
      <c r="H456" s="178"/>
      <c r="I456" s="178">
        <v>1</v>
      </c>
      <c r="J456" s="215">
        <v>0.7095</v>
      </c>
    </row>
    <row r="457" spans="1:10">
      <c r="A457" s="176"/>
      <c r="B457" s="178"/>
      <c r="C457" s="178" t="s">
        <v>145</v>
      </c>
      <c r="D457" s="178" t="s">
        <v>32</v>
      </c>
      <c r="E457" s="178" t="s">
        <v>115</v>
      </c>
      <c r="F457" s="178" t="s">
        <v>437</v>
      </c>
      <c r="G457" s="178"/>
      <c r="H457" s="178"/>
      <c r="I457" s="178">
        <v>1</v>
      </c>
      <c r="J457" s="215">
        <v>0.1244</v>
      </c>
    </row>
    <row r="458" spans="1:10">
      <c r="A458" s="176"/>
      <c r="B458" s="178"/>
      <c r="C458" s="178" t="s">
        <v>146</v>
      </c>
      <c r="D458" s="178" t="s">
        <v>32</v>
      </c>
      <c r="E458" s="178" t="s">
        <v>115</v>
      </c>
      <c r="F458" s="178" t="s">
        <v>438</v>
      </c>
      <c r="G458" s="178"/>
      <c r="H458" s="178"/>
      <c r="I458" s="178">
        <v>1</v>
      </c>
      <c r="J458" s="215">
        <v>0.199</v>
      </c>
    </row>
    <row r="459" spans="1:10">
      <c r="A459" s="176"/>
      <c r="B459" s="178"/>
      <c r="C459" s="178" t="s">
        <v>31</v>
      </c>
      <c r="D459" s="178" t="s">
        <v>32</v>
      </c>
      <c r="E459" s="178" t="s">
        <v>111</v>
      </c>
      <c r="F459" s="178" t="s">
        <v>439</v>
      </c>
      <c r="G459" s="178"/>
      <c r="H459" s="178"/>
      <c r="I459" s="178">
        <v>2</v>
      </c>
      <c r="J459" s="215">
        <v>1.0127</v>
      </c>
    </row>
    <row r="460" spans="1:10">
      <c r="A460" s="176"/>
      <c r="B460" s="178"/>
      <c r="C460" s="178" t="s">
        <v>35</v>
      </c>
      <c r="D460" s="178" t="s">
        <v>32</v>
      </c>
      <c r="E460" s="178" t="s">
        <v>111</v>
      </c>
      <c r="F460" s="178" t="s">
        <v>439</v>
      </c>
      <c r="G460" s="178"/>
      <c r="H460" s="178"/>
      <c r="I460" s="178">
        <v>2</v>
      </c>
      <c r="J460" s="215">
        <v>1.0127</v>
      </c>
    </row>
    <row r="461" spans="1:10">
      <c r="A461" s="176"/>
      <c r="B461" s="178"/>
      <c r="C461" s="178" t="s">
        <v>31</v>
      </c>
      <c r="D461" s="178" t="s">
        <v>32</v>
      </c>
      <c r="E461" s="178" t="s">
        <v>111</v>
      </c>
      <c r="F461" s="178" t="s">
        <v>440</v>
      </c>
      <c r="G461" s="178"/>
      <c r="H461" s="178"/>
      <c r="I461" s="178">
        <v>1</v>
      </c>
      <c r="J461" s="215">
        <v>0.4482</v>
      </c>
    </row>
    <row r="462" spans="1:10">
      <c r="A462" s="176"/>
      <c r="B462" s="178"/>
      <c r="C462" s="178" t="s">
        <v>31</v>
      </c>
      <c r="D462" s="178" t="s">
        <v>32</v>
      </c>
      <c r="E462" s="178" t="s">
        <v>111</v>
      </c>
      <c r="F462" s="178" t="s">
        <v>441</v>
      </c>
      <c r="G462" s="178"/>
      <c r="H462" s="178"/>
      <c r="I462" s="178">
        <v>1</v>
      </c>
      <c r="J462" s="215">
        <v>0.5993</v>
      </c>
    </row>
    <row r="463" spans="1:10">
      <c r="A463" s="176"/>
      <c r="B463" s="178"/>
      <c r="C463" s="178" t="s">
        <v>31</v>
      </c>
      <c r="D463" s="178" t="s">
        <v>32</v>
      </c>
      <c r="E463" s="178" t="s">
        <v>111</v>
      </c>
      <c r="F463" s="178" t="s">
        <v>442</v>
      </c>
      <c r="G463" s="178"/>
      <c r="H463" s="178"/>
      <c r="I463" s="178">
        <v>2</v>
      </c>
      <c r="J463" s="215">
        <v>1.3542</v>
      </c>
    </row>
    <row r="464" spans="1:10">
      <c r="A464" s="176"/>
      <c r="B464" s="178"/>
      <c r="C464" s="178" t="s">
        <v>35</v>
      </c>
      <c r="D464" s="178" t="s">
        <v>32</v>
      </c>
      <c r="E464" s="178" t="s">
        <v>111</v>
      </c>
      <c r="F464" s="178" t="s">
        <v>442</v>
      </c>
      <c r="G464" s="178"/>
      <c r="H464" s="178"/>
      <c r="I464" s="178">
        <v>2</v>
      </c>
      <c r="J464" s="215">
        <v>1.3542</v>
      </c>
    </row>
    <row r="465" spans="1:10">
      <c r="A465" s="176"/>
      <c r="B465" s="178"/>
      <c r="C465" s="178" t="s">
        <v>47</v>
      </c>
      <c r="D465" s="178" t="s">
        <v>570</v>
      </c>
      <c r="E465" s="178" t="s">
        <v>48</v>
      </c>
      <c r="F465" s="178" t="s">
        <v>49</v>
      </c>
      <c r="G465" s="178"/>
      <c r="H465" s="178"/>
      <c r="I465" s="178">
        <v>103</v>
      </c>
      <c r="J465" s="180" t="s">
        <v>4</v>
      </c>
    </row>
    <row r="466" spans="1:10">
      <c r="A466" s="176"/>
      <c r="B466" s="178"/>
      <c r="C466" s="178" t="s">
        <v>55</v>
      </c>
      <c r="D466" s="178" t="s">
        <v>570</v>
      </c>
      <c r="E466" s="178" t="s">
        <v>56</v>
      </c>
      <c r="F466" s="178" t="s">
        <v>65</v>
      </c>
      <c r="G466" s="178"/>
      <c r="H466" s="178"/>
      <c r="I466" s="178">
        <v>10</v>
      </c>
      <c r="J466" s="180" t="s">
        <v>4</v>
      </c>
    </row>
    <row r="467" spans="1:10">
      <c r="A467" s="176"/>
      <c r="B467" s="178"/>
      <c r="C467" s="178" t="s">
        <v>151</v>
      </c>
      <c r="D467" s="178" t="s">
        <v>570</v>
      </c>
      <c r="E467" s="178" t="s">
        <v>56</v>
      </c>
      <c r="F467" s="178" t="s">
        <v>152</v>
      </c>
      <c r="G467" s="178"/>
      <c r="H467" s="178"/>
      <c r="I467" s="178">
        <v>10</v>
      </c>
      <c r="J467" s="180" t="s">
        <v>4</v>
      </c>
    </row>
    <row r="468" spans="1:10">
      <c r="A468" s="176"/>
      <c r="B468" s="178"/>
      <c r="C468" s="178" t="s">
        <v>55</v>
      </c>
      <c r="D468" s="178" t="s">
        <v>570</v>
      </c>
      <c r="E468" s="178" t="s">
        <v>56</v>
      </c>
      <c r="F468" s="178" t="s">
        <v>62</v>
      </c>
      <c r="G468" s="178"/>
      <c r="H468" s="178"/>
      <c r="I468" s="178">
        <v>10</v>
      </c>
      <c r="J468" s="180" t="s">
        <v>4</v>
      </c>
    </row>
    <row r="469" ht="14.25" spans="1:10">
      <c r="A469" s="212"/>
      <c r="B469" s="213"/>
      <c r="C469" s="213" t="s">
        <v>55</v>
      </c>
      <c r="D469" s="213" t="s">
        <v>570</v>
      </c>
      <c r="E469" s="213" t="s">
        <v>56</v>
      </c>
      <c r="F469" s="213" t="s">
        <v>57</v>
      </c>
      <c r="G469" s="213"/>
      <c r="H469" s="213"/>
      <c r="I469" s="213">
        <v>5</v>
      </c>
      <c r="J469" s="216" t="s">
        <v>4</v>
      </c>
    </row>
    <row r="471" spans="1:10">
      <c r="A471" s="63" t="s">
        <v>17</v>
      </c>
      <c r="B471" s="64" t="s">
        <v>18</v>
      </c>
      <c r="C471" s="64" t="s">
        <v>105</v>
      </c>
      <c r="D471" s="64" t="s">
        <v>45</v>
      </c>
      <c r="E471" s="64" t="s">
        <v>21</v>
      </c>
      <c r="F471" s="206" t="s">
        <v>46</v>
      </c>
      <c r="G471" s="207"/>
      <c r="H471" s="208"/>
      <c r="I471" s="64" t="s">
        <v>24</v>
      </c>
      <c r="J471" s="50" t="s">
        <v>550</v>
      </c>
    </row>
    <row r="472" ht="14.25" spans="1:10">
      <c r="A472" s="63"/>
      <c r="B472" s="64"/>
      <c r="C472" s="64"/>
      <c r="D472" s="64"/>
      <c r="E472" s="64"/>
      <c r="F472" s="49"/>
      <c r="G472" s="209"/>
      <c r="H472" s="210"/>
      <c r="I472" s="64"/>
      <c r="J472" s="50"/>
    </row>
    <row r="473" spans="1:10">
      <c r="A473" s="171" t="s">
        <v>108</v>
      </c>
      <c r="B473" s="211" t="s">
        <v>444</v>
      </c>
      <c r="C473" s="173" t="s">
        <v>131</v>
      </c>
      <c r="D473" s="173" t="s">
        <v>32</v>
      </c>
      <c r="E473" s="173" t="s">
        <v>111</v>
      </c>
      <c r="F473" s="173" t="s">
        <v>445</v>
      </c>
      <c r="G473" s="173"/>
      <c r="H473" s="173"/>
      <c r="I473" s="173">
        <v>1</v>
      </c>
      <c r="J473" s="214">
        <v>0.1148</v>
      </c>
    </row>
    <row r="474" spans="1:10">
      <c r="A474" s="176"/>
      <c r="B474" s="178"/>
      <c r="C474" s="178" t="s">
        <v>110</v>
      </c>
      <c r="D474" s="178" t="s">
        <v>32</v>
      </c>
      <c r="E474" s="178" t="s">
        <v>115</v>
      </c>
      <c r="F474" s="178" t="s">
        <v>446</v>
      </c>
      <c r="G474" s="178"/>
      <c r="H474" s="178"/>
      <c r="I474" s="178">
        <v>1</v>
      </c>
      <c r="J474" s="215">
        <v>1.2164</v>
      </c>
    </row>
    <row r="475" spans="1:10">
      <c r="A475" s="176"/>
      <c r="B475" s="178"/>
      <c r="C475" s="178" t="s">
        <v>199</v>
      </c>
      <c r="D475" s="178" t="s">
        <v>32</v>
      </c>
      <c r="E475" s="178" t="s">
        <v>115</v>
      </c>
      <c r="F475" s="178" t="s">
        <v>447</v>
      </c>
      <c r="G475" s="178"/>
      <c r="H475" s="178"/>
      <c r="I475" s="178">
        <v>2</v>
      </c>
      <c r="J475" s="215">
        <v>0.1823</v>
      </c>
    </row>
    <row r="476" spans="1:10">
      <c r="A476" s="176"/>
      <c r="B476" s="178"/>
      <c r="C476" s="178" t="s">
        <v>327</v>
      </c>
      <c r="D476" s="178" t="s">
        <v>32</v>
      </c>
      <c r="E476" s="178" t="s">
        <v>115</v>
      </c>
      <c r="F476" s="178" t="s">
        <v>448</v>
      </c>
      <c r="G476" s="178"/>
      <c r="H476" s="178"/>
      <c r="I476" s="178">
        <v>2</v>
      </c>
      <c r="J476" s="215">
        <v>0.0569</v>
      </c>
    </row>
    <row r="477" spans="1:10">
      <c r="A477" s="176"/>
      <c r="B477" s="178"/>
      <c r="C477" s="178" t="s">
        <v>117</v>
      </c>
      <c r="D477" s="178" t="s">
        <v>32</v>
      </c>
      <c r="E477" s="178" t="s">
        <v>115</v>
      </c>
      <c r="F477" s="178" t="s">
        <v>449</v>
      </c>
      <c r="G477" s="178"/>
      <c r="H477" s="178"/>
      <c r="I477" s="178">
        <v>1</v>
      </c>
      <c r="J477" s="215">
        <v>0.8051</v>
      </c>
    </row>
    <row r="478" spans="1:10">
      <c r="A478" s="176"/>
      <c r="B478" s="178"/>
      <c r="C478" s="178" t="s">
        <v>110</v>
      </c>
      <c r="D478" s="178" t="s">
        <v>32</v>
      </c>
      <c r="E478" s="178" t="s">
        <v>115</v>
      </c>
      <c r="F478" s="178" t="s">
        <v>450</v>
      </c>
      <c r="G478" s="178"/>
      <c r="H478" s="178"/>
      <c r="I478" s="178">
        <v>2</v>
      </c>
      <c r="J478" s="215">
        <v>0.1516</v>
      </c>
    </row>
    <row r="479" spans="1:10">
      <c r="A479" s="176"/>
      <c r="B479" s="178"/>
      <c r="C479" s="178" t="s">
        <v>375</v>
      </c>
      <c r="D479" s="178" t="s">
        <v>32</v>
      </c>
      <c r="E479" s="178" t="s">
        <v>115</v>
      </c>
      <c r="F479" s="178" t="s">
        <v>451</v>
      </c>
      <c r="G479" s="178"/>
      <c r="H479" s="178"/>
      <c r="I479" s="178">
        <v>1</v>
      </c>
      <c r="J479" s="215">
        <v>0.0733</v>
      </c>
    </row>
    <row r="480" spans="1:10">
      <c r="A480" s="176"/>
      <c r="B480" s="178"/>
      <c r="C480" s="178" t="s">
        <v>123</v>
      </c>
      <c r="D480" s="178" t="s">
        <v>32</v>
      </c>
      <c r="E480" s="178" t="s">
        <v>115</v>
      </c>
      <c r="F480" s="178" t="s">
        <v>452</v>
      </c>
      <c r="G480" s="178"/>
      <c r="H480" s="178"/>
      <c r="I480" s="178">
        <v>1</v>
      </c>
      <c r="J480" s="215">
        <v>0.0548</v>
      </c>
    </row>
    <row r="481" spans="1:10">
      <c r="A481" s="176"/>
      <c r="B481" s="178"/>
      <c r="C481" s="178" t="s">
        <v>124</v>
      </c>
      <c r="D481" s="178" t="s">
        <v>32</v>
      </c>
      <c r="E481" s="178" t="s">
        <v>115</v>
      </c>
      <c r="F481" s="178" t="s">
        <v>453</v>
      </c>
      <c r="G481" s="178"/>
      <c r="H481" s="178"/>
      <c r="I481" s="178">
        <v>1</v>
      </c>
      <c r="J481" s="215">
        <v>0.06</v>
      </c>
    </row>
    <row r="482" spans="1:10">
      <c r="A482" s="176"/>
      <c r="B482" s="178"/>
      <c r="C482" s="178" t="s">
        <v>126</v>
      </c>
      <c r="D482" s="178" t="s">
        <v>32</v>
      </c>
      <c r="E482" s="178" t="s">
        <v>115</v>
      </c>
      <c r="F482" s="178" t="s">
        <v>453</v>
      </c>
      <c r="G482" s="178"/>
      <c r="H482" s="178"/>
      <c r="I482" s="178">
        <v>1</v>
      </c>
      <c r="J482" s="215">
        <v>0.06</v>
      </c>
    </row>
    <row r="483" spans="1:10">
      <c r="A483" s="176"/>
      <c r="B483" s="178"/>
      <c r="C483" s="178" t="s">
        <v>127</v>
      </c>
      <c r="D483" s="178" t="s">
        <v>32</v>
      </c>
      <c r="E483" s="178" t="s">
        <v>115</v>
      </c>
      <c r="F483" s="178" t="s">
        <v>454</v>
      </c>
      <c r="G483" s="178"/>
      <c r="H483" s="178"/>
      <c r="I483" s="178">
        <v>1</v>
      </c>
      <c r="J483" s="215">
        <v>0.147</v>
      </c>
    </row>
    <row r="484" spans="1:10">
      <c r="A484" s="176"/>
      <c r="B484" s="178"/>
      <c r="C484" s="178" t="s">
        <v>114</v>
      </c>
      <c r="D484" s="178" t="s">
        <v>32</v>
      </c>
      <c r="E484" s="178" t="s">
        <v>115</v>
      </c>
      <c r="F484" s="178" t="s">
        <v>455</v>
      </c>
      <c r="G484" s="178"/>
      <c r="H484" s="178"/>
      <c r="I484" s="178">
        <v>1</v>
      </c>
      <c r="J484" s="215">
        <v>0.3633</v>
      </c>
    </row>
    <row r="485" spans="1:10">
      <c r="A485" s="176"/>
      <c r="B485" s="178"/>
      <c r="C485" s="178" t="s">
        <v>129</v>
      </c>
      <c r="D485" s="178" t="s">
        <v>32</v>
      </c>
      <c r="E485" s="178" t="s">
        <v>115</v>
      </c>
      <c r="F485" s="178" t="s">
        <v>456</v>
      </c>
      <c r="G485" s="178"/>
      <c r="H485" s="178"/>
      <c r="I485" s="178">
        <v>1</v>
      </c>
      <c r="J485" s="215">
        <v>0.2084</v>
      </c>
    </row>
    <row r="486" spans="1:10">
      <c r="A486" s="176"/>
      <c r="B486" s="178"/>
      <c r="C486" s="178" t="s">
        <v>114</v>
      </c>
      <c r="D486" s="178" t="s">
        <v>32</v>
      </c>
      <c r="E486" s="178" t="s">
        <v>115</v>
      </c>
      <c r="F486" s="178" t="s">
        <v>457</v>
      </c>
      <c r="G486" s="178"/>
      <c r="H486" s="178"/>
      <c r="I486" s="178">
        <v>1</v>
      </c>
      <c r="J486" s="215">
        <v>0.4328</v>
      </c>
    </row>
    <row r="487" spans="1:10">
      <c r="A487" s="176"/>
      <c r="B487" s="178"/>
      <c r="C487" s="178" t="s">
        <v>129</v>
      </c>
      <c r="D487" s="178" t="s">
        <v>32</v>
      </c>
      <c r="E487" s="178" t="s">
        <v>115</v>
      </c>
      <c r="F487" s="178" t="s">
        <v>458</v>
      </c>
      <c r="G487" s="178"/>
      <c r="H487" s="178"/>
      <c r="I487" s="178">
        <v>1</v>
      </c>
      <c r="J487" s="215">
        <v>0.2431</v>
      </c>
    </row>
    <row r="488" spans="1:10">
      <c r="A488" s="176"/>
      <c r="B488" s="178"/>
      <c r="C488" s="178" t="s">
        <v>114</v>
      </c>
      <c r="D488" s="178" t="s">
        <v>32</v>
      </c>
      <c r="E488" s="178" t="s">
        <v>115</v>
      </c>
      <c r="F488" s="178" t="s">
        <v>459</v>
      </c>
      <c r="G488" s="178"/>
      <c r="H488" s="178"/>
      <c r="I488" s="178">
        <v>1</v>
      </c>
      <c r="J488" s="215">
        <v>0.2412</v>
      </c>
    </row>
    <row r="489" spans="1:10">
      <c r="A489" s="176"/>
      <c r="B489" s="178"/>
      <c r="C489" s="178" t="s">
        <v>221</v>
      </c>
      <c r="D489" s="178" t="s">
        <v>32</v>
      </c>
      <c r="E489" s="178" t="s">
        <v>115</v>
      </c>
      <c r="F489" s="178" t="s">
        <v>460</v>
      </c>
      <c r="G489" s="178"/>
      <c r="H489" s="178"/>
      <c r="I489" s="178">
        <v>1</v>
      </c>
      <c r="J489" s="215">
        <v>1.1655</v>
      </c>
    </row>
    <row r="490" spans="1:10">
      <c r="A490" s="176"/>
      <c r="B490" s="178"/>
      <c r="C490" s="178" t="s">
        <v>221</v>
      </c>
      <c r="D490" s="178" t="s">
        <v>32</v>
      </c>
      <c r="E490" s="178" t="s">
        <v>115</v>
      </c>
      <c r="F490" s="178" t="s">
        <v>461</v>
      </c>
      <c r="G490" s="178"/>
      <c r="H490" s="178"/>
      <c r="I490" s="178">
        <v>1</v>
      </c>
      <c r="J490" s="215">
        <v>0.1759</v>
      </c>
    </row>
    <row r="491" spans="1:10">
      <c r="A491" s="176"/>
      <c r="B491" s="178"/>
      <c r="C491" s="178" t="s">
        <v>131</v>
      </c>
      <c r="D491" s="178" t="s">
        <v>32</v>
      </c>
      <c r="E491" s="178" t="s">
        <v>111</v>
      </c>
      <c r="F491" s="178" t="s">
        <v>462</v>
      </c>
      <c r="G491" s="178"/>
      <c r="H491" s="178"/>
      <c r="I491" s="178">
        <v>1</v>
      </c>
      <c r="J491" s="215">
        <v>1.4344</v>
      </c>
    </row>
    <row r="492" spans="1:10">
      <c r="A492" s="176"/>
      <c r="B492" s="178"/>
      <c r="C492" s="178" t="s">
        <v>114</v>
      </c>
      <c r="D492" s="178" t="s">
        <v>32</v>
      </c>
      <c r="E492" s="178" t="s">
        <v>115</v>
      </c>
      <c r="F492" s="178" t="s">
        <v>463</v>
      </c>
      <c r="G492" s="178"/>
      <c r="H492" s="178"/>
      <c r="I492" s="178">
        <v>1</v>
      </c>
      <c r="J492" s="215">
        <v>1.7722</v>
      </c>
    </row>
    <row r="493" spans="1:10">
      <c r="A493" s="176"/>
      <c r="B493" s="178"/>
      <c r="C493" s="178" t="s">
        <v>180</v>
      </c>
      <c r="D493" s="178" t="s">
        <v>32</v>
      </c>
      <c r="E493" s="178" t="s">
        <v>115</v>
      </c>
      <c r="F493" s="178" t="s">
        <v>464</v>
      </c>
      <c r="G493" s="178"/>
      <c r="H493" s="178"/>
      <c r="I493" s="178">
        <v>2</v>
      </c>
      <c r="J493" s="215">
        <v>0.1661</v>
      </c>
    </row>
    <row r="494" spans="1:10">
      <c r="A494" s="176"/>
      <c r="B494" s="178"/>
      <c r="C494" s="178" t="s">
        <v>217</v>
      </c>
      <c r="D494" s="178" t="s">
        <v>32</v>
      </c>
      <c r="E494" s="178" t="s">
        <v>115</v>
      </c>
      <c r="F494" s="178" t="s">
        <v>465</v>
      </c>
      <c r="G494" s="178"/>
      <c r="H494" s="178"/>
      <c r="I494" s="178">
        <v>1</v>
      </c>
      <c r="J494" s="215">
        <v>0.545</v>
      </c>
    </row>
    <row r="495" spans="1:10">
      <c r="A495" s="176"/>
      <c r="B495" s="178"/>
      <c r="C495" s="178" t="s">
        <v>114</v>
      </c>
      <c r="D495" s="178" t="s">
        <v>32</v>
      </c>
      <c r="E495" s="178" t="s">
        <v>115</v>
      </c>
      <c r="F495" s="178" t="s">
        <v>466</v>
      </c>
      <c r="G495" s="178"/>
      <c r="H495" s="178"/>
      <c r="I495" s="178">
        <v>1</v>
      </c>
      <c r="J495" s="215">
        <v>0.5345</v>
      </c>
    </row>
    <row r="496" spans="1:10">
      <c r="A496" s="176"/>
      <c r="B496" s="178"/>
      <c r="C496" s="178" t="s">
        <v>142</v>
      </c>
      <c r="D496" s="178" t="s">
        <v>32</v>
      </c>
      <c r="E496" s="178" t="s">
        <v>115</v>
      </c>
      <c r="F496" s="178" t="s">
        <v>449</v>
      </c>
      <c r="G496" s="178"/>
      <c r="H496" s="178"/>
      <c r="I496" s="178">
        <v>1</v>
      </c>
      <c r="J496" s="215">
        <v>0.8051</v>
      </c>
    </row>
    <row r="497" spans="1:10">
      <c r="A497" s="176"/>
      <c r="B497" s="178"/>
      <c r="C497" s="178" t="s">
        <v>223</v>
      </c>
      <c r="D497" s="178" t="s">
        <v>32</v>
      </c>
      <c r="E497" s="178" t="s">
        <v>115</v>
      </c>
      <c r="F497" s="178" t="s">
        <v>446</v>
      </c>
      <c r="G497" s="178"/>
      <c r="H497" s="178"/>
      <c r="I497" s="178">
        <v>1</v>
      </c>
      <c r="J497" s="215">
        <v>1.2164</v>
      </c>
    </row>
    <row r="498" spans="1:10">
      <c r="A498" s="176"/>
      <c r="B498" s="178"/>
      <c r="C498" s="178" t="s">
        <v>145</v>
      </c>
      <c r="D498" s="178" t="s">
        <v>32</v>
      </c>
      <c r="E498" s="178" t="s">
        <v>111</v>
      </c>
      <c r="F498" s="178" t="s">
        <v>467</v>
      </c>
      <c r="G498" s="178"/>
      <c r="H498" s="178"/>
      <c r="I498" s="178">
        <v>1</v>
      </c>
      <c r="J498" s="215">
        <v>0.2648</v>
      </c>
    </row>
    <row r="499" spans="1:10">
      <c r="A499" s="176"/>
      <c r="B499" s="178"/>
      <c r="C499" s="178" t="s">
        <v>146</v>
      </c>
      <c r="D499" s="178" t="s">
        <v>32</v>
      </c>
      <c r="E499" s="178" t="s">
        <v>115</v>
      </c>
      <c r="F499" s="178" t="s">
        <v>468</v>
      </c>
      <c r="G499" s="178"/>
      <c r="H499" s="178"/>
      <c r="I499" s="178">
        <v>1</v>
      </c>
      <c r="J499" s="215">
        <v>0.1324</v>
      </c>
    </row>
    <row r="500" spans="1:10">
      <c r="A500" s="176"/>
      <c r="B500" s="178"/>
      <c r="C500" s="178" t="s">
        <v>31</v>
      </c>
      <c r="D500" s="178" t="s">
        <v>32</v>
      </c>
      <c r="E500" s="178" t="s">
        <v>111</v>
      </c>
      <c r="F500" s="178" t="s">
        <v>469</v>
      </c>
      <c r="G500" s="178"/>
      <c r="H500" s="178"/>
      <c r="I500" s="178">
        <v>1</v>
      </c>
      <c r="J500" s="215">
        <v>1.1065</v>
      </c>
    </row>
    <row r="501" spans="1:10">
      <c r="A501" s="176"/>
      <c r="B501" s="178"/>
      <c r="C501" s="178" t="s">
        <v>35</v>
      </c>
      <c r="D501" s="178" t="s">
        <v>32</v>
      </c>
      <c r="E501" s="178" t="s">
        <v>111</v>
      </c>
      <c r="F501" s="178" t="s">
        <v>469</v>
      </c>
      <c r="G501" s="178"/>
      <c r="H501" s="178"/>
      <c r="I501" s="178">
        <v>1</v>
      </c>
      <c r="J501" s="215">
        <v>1.1065</v>
      </c>
    </row>
    <row r="502" spans="1:10">
      <c r="A502" s="176"/>
      <c r="B502" s="178"/>
      <c r="C502" s="178" t="s">
        <v>47</v>
      </c>
      <c r="D502" s="178" t="s">
        <v>570</v>
      </c>
      <c r="E502" s="178" t="s">
        <v>48</v>
      </c>
      <c r="F502" s="178" t="s">
        <v>49</v>
      </c>
      <c r="G502" s="178"/>
      <c r="H502" s="178"/>
      <c r="I502" s="178">
        <v>91</v>
      </c>
      <c r="J502" s="180" t="s">
        <v>4</v>
      </c>
    </row>
    <row r="503" spans="1:10">
      <c r="A503" s="176"/>
      <c r="B503" s="178"/>
      <c r="C503" s="178" t="s">
        <v>53</v>
      </c>
      <c r="D503" s="178" t="s">
        <v>570</v>
      </c>
      <c r="E503" s="178" t="s">
        <v>48</v>
      </c>
      <c r="F503" s="178" t="s">
        <v>81</v>
      </c>
      <c r="G503" s="178"/>
      <c r="H503" s="178"/>
      <c r="I503" s="178">
        <v>1</v>
      </c>
      <c r="J503" s="180" t="s">
        <v>4</v>
      </c>
    </row>
    <row r="504" spans="1:10">
      <c r="A504" s="176"/>
      <c r="B504" s="178"/>
      <c r="C504" s="178" t="s">
        <v>151</v>
      </c>
      <c r="D504" s="178" t="s">
        <v>570</v>
      </c>
      <c r="E504" s="178" t="s">
        <v>56</v>
      </c>
      <c r="F504" s="178" t="s">
        <v>152</v>
      </c>
      <c r="G504" s="178"/>
      <c r="H504" s="178"/>
      <c r="I504" s="178">
        <v>3</v>
      </c>
      <c r="J504" s="180" t="s">
        <v>4</v>
      </c>
    </row>
    <row r="505" spans="1:10">
      <c r="A505" s="176"/>
      <c r="B505" s="178"/>
      <c r="C505" s="178" t="s">
        <v>55</v>
      </c>
      <c r="D505" s="178" t="s">
        <v>570</v>
      </c>
      <c r="E505" s="178" t="s">
        <v>56</v>
      </c>
      <c r="F505" s="178" t="s">
        <v>57</v>
      </c>
      <c r="G505" s="178"/>
      <c r="H505" s="178"/>
      <c r="I505" s="178">
        <v>10</v>
      </c>
      <c r="J505" s="180" t="s">
        <v>4</v>
      </c>
    </row>
    <row r="506" spans="1:10">
      <c r="A506" s="176"/>
      <c r="B506" s="178"/>
      <c r="C506" s="178" t="s">
        <v>69</v>
      </c>
      <c r="D506" s="178" t="s">
        <v>570</v>
      </c>
      <c r="E506" s="178" t="s">
        <v>70</v>
      </c>
      <c r="F506" s="178" t="s">
        <v>82</v>
      </c>
      <c r="G506" s="178"/>
      <c r="H506" s="178"/>
      <c r="I506" s="178">
        <v>1</v>
      </c>
      <c r="J506" s="180" t="s">
        <v>4</v>
      </c>
    </row>
    <row r="507" spans="1:10">
      <c r="A507" s="176"/>
      <c r="B507" s="178"/>
      <c r="C507" s="178" t="s">
        <v>72</v>
      </c>
      <c r="D507" s="178" t="s">
        <v>570</v>
      </c>
      <c r="E507" s="178" t="s">
        <v>73</v>
      </c>
      <c r="F507" s="178" t="s">
        <v>74</v>
      </c>
      <c r="G507" s="178"/>
      <c r="H507" s="178"/>
      <c r="I507" s="178">
        <v>4</v>
      </c>
      <c r="J507" s="180" t="s">
        <v>4</v>
      </c>
    </row>
    <row r="508" ht="14.25" spans="1:10">
      <c r="A508" s="212"/>
      <c r="B508" s="213"/>
      <c r="C508" s="213" t="s">
        <v>69</v>
      </c>
      <c r="D508" s="213" t="s">
        <v>570</v>
      </c>
      <c r="E508" s="213" t="s">
        <v>70</v>
      </c>
      <c r="F508" s="213" t="s">
        <v>83</v>
      </c>
      <c r="G508" s="213"/>
      <c r="H508" s="213"/>
      <c r="I508" s="213">
        <v>1</v>
      </c>
      <c r="J508" s="216" t="s">
        <v>4</v>
      </c>
    </row>
    <row r="510" spans="1:10">
      <c r="A510" s="63" t="s">
        <v>17</v>
      </c>
      <c r="B510" s="64" t="s">
        <v>18</v>
      </c>
      <c r="C510" s="64" t="s">
        <v>105</v>
      </c>
      <c r="D510" s="64" t="s">
        <v>45</v>
      </c>
      <c r="E510" s="64" t="s">
        <v>21</v>
      </c>
      <c r="F510" s="206" t="s">
        <v>46</v>
      </c>
      <c r="G510" s="207"/>
      <c r="H510" s="208"/>
      <c r="I510" s="64" t="s">
        <v>24</v>
      </c>
      <c r="J510" s="50" t="s">
        <v>550</v>
      </c>
    </row>
    <row r="511" ht="14.25" spans="1:10">
      <c r="A511" s="63"/>
      <c r="B511" s="64"/>
      <c r="C511" s="64"/>
      <c r="D511" s="64"/>
      <c r="E511" s="64"/>
      <c r="F511" s="49"/>
      <c r="G511" s="209"/>
      <c r="H511" s="210"/>
      <c r="I511" s="64"/>
      <c r="J511" s="50"/>
    </row>
    <row r="512" spans="1:10">
      <c r="A512" s="171" t="s">
        <v>154</v>
      </c>
      <c r="B512" s="211" t="s">
        <v>471</v>
      </c>
      <c r="C512" s="173" t="s">
        <v>472</v>
      </c>
      <c r="D512" s="173" t="s">
        <v>32</v>
      </c>
      <c r="E512" s="173" t="s">
        <v>115</v>
      </c>
      <c r="F512" s="173" t="s">
        <v>473</v>
      </c>
      <c r="G512" s="173"/>
      <c r="H512" s="173"/>
      <c r="I512" s="173">
        <v>1</v>
      </c>
      <c r="J512" s="214">
        <v>0.4572</v>
      </c>
    </row>
    <row r="513" spans="1:10">
      <c r="A513" s="176"/>
      <c r="B513" s="178"/>
      <c r="C513" s="178" t="s">
        <v>129</v>
      </c>
      <c r="D513" s="178" t="s">
        <v>32</v>
      </c>
      <c r="E513" s="178" t="s">
        <v>115</v>
      </c>
      <c r="F513" s="178" t="s">
        <v>474</v>
      </c>
      <c r="G513" s="178"/>
      <c r="H513" s="178"/>
      <c r="I513" s="178">
        <v>1</v>
      </c>
      <c r="J513" s="215">
        <v>1.3382</v>
      </c>
    </row>
    <row r="514" spans="1:10">
      <c r="A514" s="176"/>
      <c r="B514" s="178"/>
      <c r="C514" s="178" t="s">
        <v>375</v>
      </c>
      <c r="D514" s="178" t="s">
        <v>32</v>
      </c>
      <c r="E514" s="178" t="s">
        <v>111</v>
      </c>
      <c r="F514" s="178" t="s">
        <v>475</v>
      </c>
      <c r="G514" s="178"/>
      <c r="H514" s="178"/>
      <c r="I514" s="178">
        <v>4</v>
      </c>
      <c r="J514" s="215">
        <v>0.3516</v>
      </c>
    </row>
    <row r="515" spans="1:10">
      <c r="A515" s="176"/>
      <c r="B515" s="178"/>
      <c r="C515" s="178" t="s">
        <v>123</v>
      </c>
      <c r="D515" s="178" t="s">
        <v>32</v>
      </c>
      <c r="E515" s="178" t="s">
        <v>115</v>
      </c>
      <c r="F515" s="178" t="s">
        <v>476</v>
      </c>
      <c r="G515" s="178"/>
      <c r="H515" s="178"/>
      <c r="I515" s="178">
        <v>1</v>
      </c>
      <c r="J515" s="215">
        <v>0.0592</v>
      </c>
    </row>
    <row r="516" spans="1:10">
      <c r="A516" s="176"/>
      <c r="B516" s="178"/>
      <c r="C516" s="178" t="s">
        <v>124</v>
      </c>
      <c r="D516" s="178" t="s">
        <v>32</v>
      </c>
      <c r="E516" s="178" t="s">
        <v>115</v>
      </c>
      <c r="F516" s="178" t="s">
        <v>477</v>
      </c>
      <c r="G516" s="178"/>
      <c r="H516" s="178"/>
      <c r="I516" s="178">
        <v>5</v>
      </c>
      <c r="J516" s="215">
        <v>0.35</v>
      </c>
    </row>
    <row r="517" spans="1:10">
      <c r="A517" s="176"/>
      <c r="B517" s="178"/>
      <c r="C517" s="178" t="s">
        <v>126</v>
      </c>
      <c r="D517" s="178" t="s">
        <v>32</v>
      </c>
      <c r="E517" s="178" t="s">
        <v>115</v>
      </c>
      <c r="F517" s="178" t="s">
        <v>477</v>
      </c>
      <c r="G517" s="178"/>
      <c r="H517" s="178"/>
      <c r="I517" s="178">
        <v>5</v>
      </c>
      <c r="J517" s="215">
        <v>0.35</v>
      </c>
    </row>
    <row r="518" spans="1:10">
      <c r="A518" s="176"/>
      <c r="B518" s="178"/>
      <c r="C518" s="178" t="s">
        <v>127</v>
      </c>
      <c r="D518" s="178" t="s">
        <v>32</v>
      </c>
      <c r="E518" s="178" t="s">
        <v>115</v>
      </c>
      <c r="F518" s="178" t="s">
        <v>478</v>
      </c>
      <c r="G518" s="178"/>
      <c r="H518" s="178"/>
      <c r="I518" s="178">
        <v>1</v>
      </c>
      <c r="J518" s="215">
        <v>0.213</v>
      </c>
    </row>
    <row r="519" spans="1:10">
      <c r="A519" s="176"/>
      <c r="B519" s="178"/>
      <c r="C519" s="178" t="s">
        <v>221</v>
      </c>
      <c r="D519" s="178" t="s">
        <v>32</v>
      </c>
      <c r="E519" s="178" t="s">
        <v>115</v>
      </c>
      <c r="F519" s="178" t="s">
        <v>479</v>
      </c>
      <c r="G519" s="178"/>
      <c r="H519" s="178"/>
      <c r="I519" s="178">
        <v>4</v>
      </c>
      <c r="J519" s="215">
        <v>0.3556</v>
      </c>
    </row>
    <row r="520" spans="1:10">
      <c r="A520" s="176"/>
      <c r="B520" s="178"/>
      <c r="C520" s="178" t="s">
        <v>123</v>
      </c>
      <c r="D520" s="178" t="s">
        <v>32</v>
      </c>
      <c r="E520" s="178" t="s">
        <v>115</v>
      </c>
      <c r="F520" s="178" t="s">
        <v>480</v>
      </c>
      <c r="G520" s="178"/>
      <c r="H520" s="178"/>
      <c r="I520" s="178">
        <v>3</v>
      </c>
      <c r="J520" s="215">
        <v>0.1739</v>
      </c>
    </row>
    <row r="521" spans="1:10">
      <c r="A521" s="176"/>
      <c r="B521" s="178"/>
      <c r="C521" s="178" t="s">
        <v>127</v>
      </c>
      <c r="D521" s="178" t="s">
        <v>32</v>
      </c>
      <c r="E521" s="178" t="s">
        <v>115</v>
      </c>
      <c r="F521" s="178" t="s">
        <v>481</v>
      </c>
      <c r="G521" s="178"/>
      <c r="H521" s="178"/>
      <c r="I521" s="178">
        <v>3</v>
      </c>
      <c r="J521" s="215">
        <v>0.6258</v>
      </c>
    </row>
    <row r="522" spans="1:10">
      <c r="A522" s="176"/>
      <c r="B522" s="178"/>
      <c r="C522" s="178" t="s">
        <v>375</v>
      </c>
      <c r="D522" s="178" t="s">
        <v>32</v>
      </c>
      <c r="E522" s="178" t="s">
        <v>111</v>
      </c>
      <c r="F522" s="178" t="s">
        <v>482</v>
      </c>
      <c r="G522" s="178"/>
      <c r="H522" s="178"/>
      <c r="I522" s="178">
        <v>1</v>
      </c>
      <c r="J522" s="215">
        <v>0.0877</v>
      </c>
    </row>
    <row r="523" spans="1:10">
      <c r="A523" s="176"/>
      <c r="B523" s="178"/>
      <c r="C523" s="178" t="s">
        <v>123</v>
      </c>
      <c r="D523" s="178" t="s">
        <v>32</v>
      </c>
      <c r="E523" s="178" t="s">
        <v>115</v>
      </c>
      <c r="F523" s="178" t="s">
        <v>483</v>
      </c>
      <c r="G523" s="178"/>
      <c r="H523" s="178"/>
      <c r="I523" s="178">
        <v>1</v>
      </c>
      <c r="J523" s="215">
        <v>0.0591</v>
      </c>
    </row>
    <row r="524" spans="1:10">
      <c r="A524" s="176"/>
      <c r="B524" s="178"/>
      <c r="C524" s="178" t="s">
        <v>127</v>
      </c>
      <c r="D524" s="178" t="s">
        <v>32</v>
      </c>
      <c r="E524" s="178" t="s">
        <v>115</v>
      </c>
      <c r="F524" s="178" t="s">
        <v>484</v>
      </c>
      <c r="G524" s="178"/>
      <c r="H524" s="178"/>
      <c r="I524" s="178">
        <v>1</v>
      </c>
      <c r="J524" s="215">
        <v>0.2125</v>
      </c>
    </row>
    <row r="525" spans="1:10">
      <c r="A525" s="176"/>
      <c r="B525" s="178"/>
      <c r="C525" s="178" t="s">
        <v>114</v>
      </c>
      <c r="D525" s="178" t="s">
        <v>32</v>
      </c>
      <c r="E525" s="178" t="s">
        <v>115</v>
      </c>
      <c r="F525" s="178" t="s">
        <v>485</v>
      </c>
      <c r="G525" s="178"/>
      <c r="H525" s="178"/>
      <c r="I525" s="178">
        <v>1</v>
      </c>
      <c r="J525" s="215">
        <v>1.8814</v>
      </c>
    </row>
    <row r="526" spans="1:10">
      <c r="A526" s="176"/>
      <c r="B526" s="178"/>
      <c r="C526" s="178" t="s">
        <v>486</v>
      </c>
      <c r="D526" s="178" t="s">
        <v>32</v>
      </c>
      <c r="E526" s="178" t="s">
        <v>115</v>
      </c>
      <c r="F526" s="178" t="s">
        <v>473</v>
      </c>
      <c r="G526" s="178"/>
      <c r="H526" s="178"/>
      <c r="I526" s="178">
        <v>1</v>
      </c>
      <c r="J526" s="215">
        <v>0.4572</v>
      </c>
    </row>
    <row r="527" spans="1:10">
      <c r="A527" s="176"/>
      <c r="B527" s="178"/>
      <c r="C527" s="178" t="s">
        <v>129</v>
      </c>
      <c r="D527" s="178" t="s">
        <v>32</v>
      </c>
      <c r="E527" s="178" t="s">
        <v>115</v>
      </c>
      <c r="F527" s="178" t="s">
        <v>487</v>
      </c>
      <c r="G527" s="178"/>
      <c r="H527" s="178"/>
      <c r="I527" s="178">
        <v>1</v>
      </c>
      <c r="J527" s="215">
        <v>1.503</v>
      </c>
    </row>
    <row r="528" spans="1:10">
      <c r="A528" s="176"/>
      <c r="B528" s="178"/>
      <c r="C528" s="178" t="s">
        <v>472</v>
      </c>
      <c r="D528" s="178" t="s">
        <v>32</v>
      </c>
      <c r="E528" s="178" t="s">
        <v>115</v>
      </c>
      <c r="F528" s="178" t="s">
        <v>488</v>
      </c>
      <c r="G528" s="178"/>
      <c r="H528" s="178"/>
      <c r="I528" s="178">
        <v>1</v>
      </c>
      <c r="J528" s="215">
        <v>0.5025</v>
      </c>
    </row>
    <row r="529" spans="1:10">
      <c r="A529" s="176"/>
      <c r="B529" s="178"/>
      <c r="C529" s="178" t="s">
        <v>114</v>
      </c>
      <c r="D529" s="178" t="s">
        <v>32</v>
      </c>
      <c r="E529" s="178" t="s">
        <v>115</v>
      </c>
      <c r="F529" s="178" t="s">
        <v>489</v>
      </c>
      <c r="G529" s="178"/>
      <c r="H529" s="178"/>
      <c r="I529" s="178">
        <v>1</v>
      </c>
      <c r="J529" s="215">
        <v>1.4814</v>
      </c>
    </row>
    <row r="530" spans="1:10">
      <c r="A530" s="176"/>
      <c r="B530" s="178"/>
      <c r="C530" s="178" t="s">
        <v>129</v>
      </c>
      <c r="D530" s="178" t="s">
        <v>32</v>
      </c>
      <c r="E530" s="178" t="s">
        <v>115</v>
      </c>
      <c r="F530" s="178" t="s">
        <v>490</v>
      </c>
      <c r="G530" s="178"/>
      <c r="H530" s="178"/>
      <c r="I530" s="178">
        <v>1</v>
      </c>
      <c r="J530" s="215">
        <v>0.6913</v>
      </c>
    </row>
    <row r="531" spans="1:10">
      <c r="A531" s="176"/>
      <c r="B531" s="178"/>
      <c r="C531" s="178" t="s">
        <v>114</v>
      </c>
      <c r="D531" s="178" t="s">
        <v>32</v>
      </c>
      <c r="E531" s="178" t="s">
        <v>115</v>
      </c>
      <c r="F531" s="178" t="s">
        <v>491</v>
      </c>
      <c r="G531" s="178"/>
      <c r="H531" s="178"/>
      <c r="I531" s="178">
        <v>4</v>
      </c>
      <c r="J531" s="215">
        <v>1.0628</v>
      </c>
    </row>
    <row r="532" spans="1:10">
      <c r="A532" s="176"/>
      <c r="B532" s="178"/>
      <c r="C532" s="178" t="s">
        <v>129</v>
      </c>
      <c r="D532" s="178" t="s">
        <v>32</v>
      </c>
      <c r="E532" s="178" t="s">
        <v>115</v>
      </c>
      <c r="F532" s="178" t="s">
        <v>492</v>
      </c>
      <c r="G532" s="178"/>
      <c r="H532" s="178"/>
      <c r="I532" s="178">
        <v>4</v>
      </c>
      <c r="J532" s="215">
        <v>0.8855</v>
      </c>
    </row>
    <row r="533" spans="1:10">
      <c r="A533" s="176"/>
      <c r="B533" s="178"/>
      <c r="C533" s="178" t="s">
        <v>114</v>
      </c>
      <c r="D533" s="178" t="s">
        <v>32</v>
      </c>
      <c r="E533" s="178" t="s">
        <v>115</v>
      </c>
      <c r="F533" s="178" t="s">
        <v>493</v>
      </c>
      <c r="G533" s="178"/>
      <c r="H533" s="178"/>
      <c r="I533" s="178">
        <v>2</v>
      </c>
      <c r="J533" s="215">
        <v>0.5395</v>
      </c>
    </row>
    <row r="534" spans="1:10">
      <c r="A534" s="176"/>
      <c r="B534" s="178"/>
      <c r="C534" s="178" t="s">
        <v>221</v>
      </c>
      <c r="D534" s="178" t="s">
        <v>32</v>
      </c>
      <c r="E534" s="178" t="s">
        <v>115</v>
      </c>
      <c r="F534" s="178" t="s">
        <v>494</v>
      </c>
      <c r="G534" s="178"/>
      <c r="H534" s="178"/>
      <c r="I534" s="178">
        <v>2</v>
      </c>
      <c r="J534" s="215">
        <v>0.5538</v>
      </c>
    </row>
    <row r="535" spans="1:10">
      <c r="A535" s="176"/>
      <c r="B535" s="178"/>
      <c r="C535" s="178" t="s">
        <v>114</v>
      </c>
      <c r="D535" s="178" t="s">
        <v>32</v>
      </c>
      <c r="E535" s="178" t="s">
        <v>115</v>
      </c>
      <c r="F535" s="178" t="s">
        <v>495</v>
      </c>
      <c r="G535" s="178"/>
      <c r="H535" s="178"/>
      <c r="I535" s="178">
        <v>2</v>
      </c>
      <c r="J535" s="215">
        <v>0.5431</v>
      </c>
    </row>
    <row r="536" spans="1:10">
      <c r="A536" s="176"/>
      <c r="B536" s="178"/>
      <c r="C536" s="178" t="s">
        <v>129</v>
      </c>
      <c r="D536" s="178" t="s">
        <v>32</v>
      </c>
      <c r="E536" s="178" t="s">
        <v>115</v>
      </c>
      <c r="F536" s="178" t="s">
        <v>496</v>
      </c>
      <c r="G536" s="178"/>
      <c r="H536" s="178"/>
      <c r="I536" s="178">
        <v>1</v>
      </c>
      <c r="J536" s="215">
        <v>0.2304</v>
      </c>
    </row>
    <row r="537" spans="1:10">
      <c r="A537" s="176"/>
      <c r="B537" s="178"/>
      <c r="C537" s="178" t="s">
        <v>129</v>
      </c>
      <c r="D537" s="178" t="s">
        <v>32</v>
      </c>
      <c r="E537" s="178" t="s">
        <v>115</v>
      </c>
      <c r="F537" s="178" t="s">
        <v>497</v>
      </c>
      <c r="G537" s="178"/>
      <c r="H537" s="178"/>
      <c r="I537" s="178">
        <v>1</v>
      </c>
      <c r="J537" s="215">
        <v>0.2263</v>
      </c>
    </row>
    <row r="538" spans="1:10">
      <c r="A538" s="176"/>
      <c r="B538" s="178"/>
      <c r="C538" s="178" t="s">
        <v>114</v>
      </c>
      <c r="D538" s="178" t="s">
        <v>32</v>
      </c>
      <c r="E538" s="178" t="s">
        <v>115</v>
      </c>
      <c r="F538" s="178" t="s">
        <v>498</v>
      </c>
      <c r="G538" s="178"/>
      <c r="H538" s="178"/>
      <c r="I538" s="178">
        <v>1</v>
      </c>
      <c r="J538" s="215">
        <v>0.2757</v>
      </c>
    </row>
    <row r="539" spans="1:10">
      <c r="A539" s="176"/>
      <c r="B539" s="178"/>
      <c r="C539" s="178" t="s">
        <v>142</v>
      </c>
      <c r="D539" s="178" t="s">
        <v>32</v>
      </c>
      <c r="E539" s="178" t="s">
        <v>115</v>
      </c>
      <c r="F539" s="178" t="s">
        <v>490</v>
      </c>
      <c r="G539" s="178"/>
      <c r="H539" s="178"/>
      <c r="I539" s="178">
        <v>1</v>
      </c>
      <c r="J539" s="215">
        <v>0.6913</v>
      </c>
    </row>
    <row r="540" spans="1:10">
      <c r="A540" s="176"/>
      <c r="B540" s="178"/>
      <c r="C540" s="178" t="s">
        <v>145</v>
      </c>
      <c r="D540" s="178" t="s">
        <v>32</v>
      </c>
      <c r="E540" s="178" t="s">
        <v>115</v>
      </c>
      <c r="F540" s="178" t="s">
        <v>499</v>
      </c>
      <c r="G540" s="178"/>
      <c r="H540" s="178"/>
      <c r="I540" s="178">
        <v>1</v>
      </c>
      <c r="J540" s="215">
        <v>0.1234</v>
      </c>
    </row>
    <row r="541" spans="1:10">
      <c r="A541" s="176"/>
      <c r="B541" s="178"/>
      <c r="C541" s="178" t="s">
        <v>146</v>
      </c>
      <c r="D541" s="178" t="s">
        <v>32</v>
      </c>
      <c r="E541" s="178" t="s">
        <v>115</v>
      </c>
      <c r="F541" s="178" t="s">
        <v>500</v>
      </c>
      <c r="G541" s="178"/>
      <c r="H541" s="178"/>
      <c r="I541" s="178">
        <v>1</v>
      </c>
      <c r="J541" s="215">
        <v>0.1975</v>
      </c>
    </row>
    <row r="542" spans="1:10">
      <c r="A542" s="176"/>
      <c r="B542" s="178"/>
      <c r="C542" s="178" t="s">
        <v>486</v>
      </c>
      <c r="D542" s="178" t="s">
        <v>32</v>
      </c>
      <c r="E542" s="178" t="s">
        <v>115</v>
      </c>
      <c r="F542" s="178" t="s">
        <v>488</v>
      </c>
      <c r="G542" s="178"/>
      <c r="H542" s="178"/>
      <c r="I542" s="178">
        <v>1</v>
      </c>
      <c r="J542" s="215">
        <v>0.5025</v>
      </c>
    </row>
    <row r="543" spans="1:10">
      <c r="A543" s="176"/>
      <c r="B543" s="178"/>
      <c r="C543" s="178" t="s">
        <v>31</v>
      </c>
      <c r="D543" s="178" t="s">
        <v>32</v>
      </c>
      <c r="E543" s="178" t="s">
        <v>111</v>
      </c>
      <c r="F543" s="178" t="s">
        <v>501</v>
      </c>
      <c r="G543" s="178"/>
      <c r="H543" s="178"/>
      <c r="I543" s="178">
        <v>2</v>
      </c>
      <c r="J543" s="215">
        <v>0.8677</v>
      </c>
    </row>
    <row r="544" spans="1:10">
      <c r="A544" s="176"/>
      <c r="B544" s="178"/>
      <c r="C544" s="178" t="s">
        <v>35</v>
      </c>
      <c r="D544" s="178" t="s">
        <v>32</v>
      </c>
      <c r="E544" s="178" t="s">
        <v>111</v>
      </c>
      <c r="F544" s="178" t="s">
        <v>501</v>
      </c>
      <c r="G544" s="178"/>
      <c r="H544" s="178"/>
      <c r="I544" s="178">
        <v>2</v>
      </c>
      <c r="J544" s="215">
        <v>0.8677</v>
      </c>
    </row>
    <row r="545" spans="1:10">
      <c r="A545" s="176"/>
      <c r="B545" s="178"/>
      <c r="C545" s="178" t="s">
        <v>31</v>
      </c>
      <c r="D545" s="178" t="s">
        <v>32</v>
      </c>
      <c r="E545" s="178" t="s">
        <v>111</v>
      </c>
      <c r="F545" s="178" t="s">
        <v>502</v>
      </c>
      <c r="G545" s="178"/>
      <c r="H545" s="178"/>
      <c r="I545" s="178">
        <v>1</v>
      </c>
      <c r="J545" s="215">
        <v>0.2974</v>
      </c>
    </row>
    <row r="546" spans="1:10">
      <c r="A546" s="176"/>
      <c r="B546" s="178"/>
      <c r="C546" s="178" t="s">
        <v>35</v>
      </c>
      <c r="D546" s="178" t="s">
        <v>32</v>
      </c>
      <c r="E546" s="178" t="s">
        <v>111</v>
      </c>
      <c r="F546" s="178" t="s">
        <v>502</v>
      </c>
      <c r="G546" s="178"/>
      <c r="H546" s="178"/>
      <c r="I546" s="178">
        <v>1</v>
      </c>
      <c r="J546" s="215">
        <v>0.2974</v>
      </c>
    </row>
    <row r="547" spans="1:10">
      <c r="A547" s="176"/>
      <c r="B547" s="178"/>
      <c r="C547" s="178" t="s">
        <v>47</v>
      </c>
      <c r="D547" s="178" t="s">
        <v>570</v>
      </c>
      <c r="E547" s="178" t="s">
        <v>48</v>
      </c>
      <c r="F547" s="178" t="s">
        <v>49</v>
      </c>
      <c r="G547" s="178"/>
      <c r="H547" s="178"/>
      <c r="I547" s="178">
        <v>151</v>
      </c>
      <c r="J547" s="180" t="s">
        <v>4</v>
      </c>
    </row>
    <row r="548" spans="1:10">
      <c r="A548" s="176"/>
      <c r="B548" s="178"/>
      <c r="C548" s="178" t="s">
        <v>50</v>
      </c>
      <c r="D548" s="178" t="s">
        <v>570</v>
      </c>
      <c r="E548" s="178" t="s">
        <v>51</v>
      </c>
      <c r="F548" s="178" t="s">
        <v>84</v>
      </c>
      <c r="G548" s="178"/>
      <c r="H548" s="178"/>
      <c r="I548" s="178">
        <v>1</v>
      </c>
      <c r="J548" s="180" t="s">
        <v>4</v>
      </c>
    </row>
    <row r="549" spans="1:10">
      <c r="A549" s="176"/>
      <c r="B549" s="178"/>
      <c r="C549" s="178" t="s">
        <v>50</v>
      </c>
      <c r="D549" s="178" t="s">
        <v>570</v>
      </c>
      <c r="E549" s="178" t="s">
        <v>51</v>
      </c>
      <c r="F549" s="178" t="s">
        <v>85</v>
      </c>
      <c r="G549" s="178"/>
      <c r="H549" s="178"/>
      <c r="I549" s="178">
        <v>1</v>
      </c>
      <c r="J549" s="180" t="s">
        <v>4</v>
      </c>
    </row>
    <row r="550" spans="1:10">
      <c r="A550" s="176"/>
      <c r="B550" s="178"/>
      <c r="C550" s="178" t="s">
        <v>53</v>
      </c>
      <c r="D550" s="178" t="s">
        <v>570</v>
      </c>
      <c r="E550" s="178" t="s">
        <v>48</v>
      </c>
      <c r="F550" s="178" t="s">
        <v>68</v>
      </c>
      <c r="G550" s="178"/>
      <c r="H550" s="178"/>
      <c r="I550" s="178">
        <v>5</v>
      </c>
      <c r="J550" s="180" t="s">
        <v>4</v>
      </c>
    </row>
    <row r="551" spans="1:10">
      <c r="A551" s="176"/>
      <c r="B551" s="178"/>
      <c r="C551" s="178" t="s">
        <v>151</v>
      </c>
      <c r="D551" s="178" t="s">
        <v>570</v>
      </c>
      <c r="E551" s="178" t="s">
        <v>56</v>
      </c>
      <c r="F551" s="178" t="s">
        <v>152</v>
      </c>
      <c r="G551" s="178"/>
      <c r="H551" s="178"/>
      <c r="I551" s="178">
        <v>11</v>
      </c>
      <c r="J551" s="180" t="s">
        <v>4</v>
      </c>
    </row>
    <row r="552" spans="1:10">
      <c r="A552" s="176"/>
      <c r="B552" s="178"/>
      <c r="C552" s="178" t="s">
        <v>55</v>
      </c>
      <c r="D552" s="178" t="s">
        <v>570</v>
      </c>
      <c r="E552" s="178" t="s">
        <v>56</v>
      </c>
      <c r="F552" s="178" t="s">
        <v>65</v>
      </c>
      <c r="G552" s="178"/>
      <c r="H552" s="178"/>
      <c r="I552" s="178">
        <v>8</v>
      </c>
      <c r="J552" s="180" t="s">
        <v>4</v>
      </c>
    </row>
    <row r="553" ht="14.25" spans="1:10">
      <c r="A553" s="212"/>
      <c r="B553" s="213"/>
      <c r="C553" s="213" t="s">
        <v>55</v>
      </c>
      <c r="D553" s="213" t="s">
        <v>570</v>
      </c>
      <c r="E553" s="213" t="s">
        <v>56</v>
      </c>
      <c r="F553" s="213" t="s">
        <v>57</v>
      </c>
      <c r="G553" s="213"/>
      <c r="H553" s="213"/>
      <c r="I553" s="213">
        <v>4</v>
      </c>
      <c r="J553" s="216" t="s">
        <v>4</v>
      </c>
    </row>
    <row r="555" spans="1:10">
      <c r="A555" s="63" t="s">
        <v>17</v>
      </c>
      <c r="B555" s="64" t="s">
        <v>18</v>
      </c>
      <c r="C555" s="64" t="s">
        <v>105</v>
      </c>
      <c r="D555" s="64" t="s">
        <v>45</v>
      </c>
      <c r="E555" s="64" t="s">
        <v>21</v>
      </c>
      <c r="F555" s="206" t="s">
        <v>46</v>
      </c>
      <c r="G555" s="207"/>
      <c r="H555" s="208"/>
      <c r="I555" s="64" t="s">
        <v>24</v>
      </c>
      <c r="J555" s="50" t="s">
        <v>550</v>
      </c>
    </row>
    <row r="556" ht="14.25" spans="1:10">
      <c r="A556" s="63"/>
      <c r="B556" s="64"/>
      <c r="C556" s="64"/>
      <c r="D556" s="64"/>
      <c r="E556" s="64"/>
      <c r="F556" s="49"/>
      <c r="G556" s="209"/>
      <c r="H556" s="210"/>
      <c r="I556" s="64"/>
      <c r="J556" s="50"/>
    </row>
    <row r="557" spans="1:10">
      <c r="A557" s="171" t="s">
        <v>108</v>
      </c>
      <c r="B557" s="211" t="s">
        <v>504</v>
      </c>
      <c r="C557" s="173" t="s">
        <v>110</v>
      </c>
      <c r="D557" s="173" t="s">
        <v>32</v>
      </c>
      <c r="E557" s="173" t="s">
        <v>111</v>
      </c>
      <c r="F557" s="173" t="s">
        <v>505</v>
      </c>
      <c r="G557" s="173"/>
      <c r="H557" s="173"/>
      <c r="I557" s="173">
        <v>1</v>
      </c>
      <c r="J557" s="214">
        <v>0.847</v>
      </c>
    </row>
    <row r="558" spans="1:10">
      <c r="A558" s="176"/>
      <c r="B558" s="178"/>
      <c r="C558" s="178" t="s">
        <v>199</v>
      </c>
      <c r="D558" s="178" t="s">
        <v>32</v>
      </c>
      <c r="E558" s="178" t="s">
        <v>115</v>
      </c>
      <c r="F558" s="178" t="s">
        <v>506</v>
      </c>
      <c r="G558" s="178"/>
      <c r="H558" s="178"/>
      <c r="I558" s="178">
        <v>2</v>
      </c>
      <c r="J558" s="215">
        <v>0.054</v>
      </c>
    </row>
    <row r="559" spans="1:10">
      <c r="A559" s="176"/>
      <c r="B559" s="178"/>
      <c r="C559" s="178" t="s">
        <v>117</v>
      </c>
      <c r="D559" s="178" t="s">
        <v>32</v>
      </c>
      <c r="E559" s="178" t="s">
        <v>115</v>
      </c>
      <c r="F559" s="178" t="s">
        <v>507</v>
      </c>
      <c r="G559" s="178"/>
      <c r="H559" s="178"/>
      <c r="I559" s="178">
        <v>1</v>
      </c>
      <c r="J559" s="215">
        <v>0.1485</v>
      </c>
    </row>
    <row r="560" spans="1:10">
      <c r="A560" s="176"/>
      <c r="B560" s="178"/>
      <c r="C560" s="178" t="s">
        <v>114</v>
      </c>
      <c r="D560" s="178" t="s">
        <v>32</v>
      </c>
      <c r="E560" s="178" t="s">
        <v>115</v>
      </c>
      <c r="F560" s="178" t="s">
        <v>508</v>
      </c>
      <c r="G560" s="178"/>
      <c r="H560" s="178"/>
      <c r="I560" s="178">
        <v>4</v>
      </c>
      <c r="J560" s="215">
        <v>0.828</v>
      </c>
    </row>
    <row r="561" spans="1:10">
      <c r="A561" s="176"/>
      <c r="B561" s="178"/>
      <c r="C561" s="178" t="s">
        <v>129</v>
      </c>
      <c r="D561" s="178" t="s">
        <v>32</v>
      </c>
      <c r="E561" s="178" t="s">
        <v>115</v>
      </c>
      <c r="F561" s="178" t="s">
        <v>509</v>
      </c>
      <c r="G561" s="178"/>
      <c r="H561" s="178"/>
      <c r="I561" s="178">
        <v>4</v>
      </c>
      <c r="J561" s="215">
        <v>0.585</v>
      </c>
    </row>
    <row r="562" spans="1:10">
      <c r="A562" s="176"/>
      <c r="B562" s="178"/>
      <c r="C562" s="178" t="s">
        <v>180</v>
      </c>
      <c r="D562" s="178" t="s">
        <v>32</v>
      </c>
      <c r="E562" s="178" t="s">
        <v>115</v>
      </c>
      <c r="F562" s="178" t="s">
        <v>510</v>
      </c>
      <c r="G562" s="178"/>
      <c r="H562" s="178"/>
      <c r="I562" s="178">
        <v>2</v>
      </c>
      <c r="J562" s="215">
        <v>0.072</v>
      </c>
    </row>
    <row r="563" spans="1:10">
      <c r="A563" s="176"/>
      <c r="B563" s="178"/>
      <c r="C563" s="178" t="s">
        <v>114</v>
      </c>
      <c r="D563" s="178" t="s">
        <v>32</v>
      </c>
      <c r="E563" s="178" t="s">
        <v>115</v>
      </c>
      <c r="F563" s="178" t="s">
        <v>511</v>
      </c>
      <c r="G563" s="178"/>
      <c r="H563" s="178"/>
      <c r="I563" s="178">
        <v>1</v>
      </c>
      <c r="J563" s="215">
        <v>0.2079</v>
      </c>
    </row>
    <row r="564" spans="1:10">
      <c r="A564" s="176"/>
      <c r="B564" s="178"/>
      <c r="C564" s="178" t="s">
        <v>142</v>
      </c>
      <c r="D564" s="178" t="s">
        <v>32</v>
      </c>
      <c r="E564" s="178" t="s">
        <v>115</v>
      </c>
      <c r="F564" s="178" t="s">
        <v>507</v>
      </c>
      <c r="G564" s="178"/>
      <c r="H564" s="178"/>
      <c r="I564" s="178">
        <v>1</v>
      </c>
      <c r="J564" s="215">
        <v>0.1485</v>
      </c>
    </row>
    <row r="565" spans="1:10">
      <c r="A565" s="176"/>
      <c r="B565" s="178"/>
      <c r="C565" s="178" t="s">
        <v>145</v>
      </c>
      <c r="D565" s="178" t="s">
        <v>32</v>
      </c>
      <c r="E565" s="178" t="s">
        <v>115</v>
      </c>
      <c r="F565" s="178" t="s">
        <v>245</v>
      </c>
      <c r="G565" s="178"/>
      <c r="H565" s="178"/>
      <c r="I565" s="178">
        <v>1</v>
      </c>
      <c r="J565" s="215">
        <v>0.0225</v>
      </c>
    </row>
    <row r="566" spans="1:10">
      <c r="A566" s="176"/>
      <c r="B566" s="178"/>
      <c r="C566" s="178" t="s">
        <v>146</v>
      </c>
      <c r="D566" s="178" t="s">
        <v>32</v>
      </c>
      <c r="E566" s="178" t="s">
        <v>115</v>
      </c>
      <c r="F566" s="178" t="s">
        <v>510</v>
      </c>
      <c r="G566" s="178"/>
      <c r="H566" s="178"/>
      <c r="I566" s="178">
        <v>1</v>
      </c>
      <c r="J566" s="215">
        <v>0.036</v>
      </c>
    </row>
    <row r="567" spans="1:10">
      <c r="A567" s="176"/>
      <c r="B567" s="178"/>
      <c r="C567" s="178" t="s">
        <v>223</v>
      </c>
      <c r="D567" s="178" t="s">
        <v>32</v>
      </c>
      <c r="E567" s="178" t="s">
        <v>111</v>
      </c>
      <c r="F567" s="178" t="s">
        <v>505</v>
      </c>
      <c r="G567" s="178"/>
      <c r="H567" s="178"/>
      <c r="I567" s="178">
        <v>1</v>
      </c>
      <c r="J567" s="215">
        <v>0.847</v>
      </c>
    </row>
    <row r="568" spans="1:10">
      <c r="A568" s="176"/>
      <c r="B568" s="178"/>
      <c r="C568" s="178" t="s">
        <v>31</v>
      </c>
      <c r="D568" s="178" t="s">
        <v>32</v>
      </c>
      <c r="E568" s="178" t="s">
        <v>33</v>
      </c>
      <c r="F568" s="178" t="s">
        <v>512</v>
      </c>
      <c r="G568" s="178"/>
      <c r="H568" s="178"/>
      <c r="I568" s="178">
        <v>1</v>
      </c>
      <c r="J568" s="215">
        <v>1.0622</v>
      </c>
    </row>
    <row r="569" spans="1:10">
      <c r="A569" s="176"/>
      <c r="B569" s="178"/>
      <c r="C569" s="178" t="s">
        <v>47</v>
      </c>
      <c r="D569" s="178" t="s">
        <v>570</v>
      </c>
      <c r="E569" s="178" t="s">
        <v>48</v>
      </c>
      <c r="F569" s="178" t="s">
        <v>49</v>
      </c>
      <c r="G569" s="178"/>
      <c r="H569" s="178"/>
      <c r="I569" s="178">
        <v>46</v>
      </c>
      <c r="J569" s="180" t="s">
        <v>4</v>
      </c>
    </row>
    <row r="570" spans="1:10">
      <c r="A570" s="176"/>
      <c r="B570" s="178"/>
      <c r="C570" s="178" t="s">
        <v>50</v>
      </c>
      <c r="D570" s="178" t="s">
        <v>570</v>
      </c>
      <c r="E570" s="178" t="s">
        <v>51</v>
      </c>
      <c r="F570" s="178" t="s">
        <v>86</v>
      </c>
      <c r="G570" s="178"/>
      <c r="H570" s="178"/>
      <c r="I570" s="178">
        <v>5</v>
      </c>
      <c r="J570" s="180" t="s">
        <v>4</v>
      </c>
    </row>
    <row r="571" spans="1:10">
      <c r="A571" s="176"/>
      <c r="B571" s="178"/>
      <c r="C571" s="178" t="s">
        <v>55</v>
      </c>
      <c r="D571" s="178" t="s">
        <v>570</v>
      </c>
      <c r="E571" s="178" t="s">
        <v>56</v>
      </c>
      <c r="F571" s="178" t="s">
        <v>65</v>
      </c>
      <c r="G571" s="178"/>
      <c r="H571" s="178"/>
      <c r="I571" s="178">
        <v>5</v>
      </c>
      <c r="J571" s="180" t="s">
        <v>4</v>
      </c>
    </row>
    <row r="572" ht="14.25" spans="1:10">
      <c r="A572" s="212"/>
      <c r="B572" s="213"/>
      <c r="C572" s="213" t="s">
        <v>151</v>
      </c>
      <c r="D572" s="213" t="s">
        <v>570</v>
      </c>
      <c r="E572" s="213" t="s">
        <v>56</v>
      </c>
      <c r="F572" s="213" t="s">
        <v>152</v>
      </c>
      <c r="G572" s="213"/>
      <c r="H572" s="213"/>
      <c r="I572" s="213">
        <v>1</v>
      </c>
      <c r="J572" s="216" t="s">
        <v>4</v>
      </c>
    </row>
    <row r="574" spans="1:10">
      <c r="A574" s="63" t="s">
        <v>17</v>
      </c>
      <c r="B574" s="64" t="s">
        <v>18</v>
      </c>
      <c r="C574" s="64" t="s">
        <v>105</v>
      </c>
      <c r="D574" s="64" t="s">
        <v>45</v>
      </c>
      <c r="E574" s="64" t="s">
        <v>21</v>
      </c>
      <c r="F574" s="206" t="s">
        <v>46</v>
      </c>
      <c r="G574" s="207"/>
      <c r="H574" s="208"/>
      <c r="I574" s="64" t="s">
        <v>24</v>
      </c>
      <c r="J574" s="50" t="s">
        <v>550</v>
      </c>
    </row>
    <row r="575" ht="14.25" spans="1:10">
      <c r="A575" s="63"/>
      <c r="B575" s="64"/>
      <c r="C575" s="64"/>
      <c r="D575" s="64"/>
      <c r="E575" s="64"/>
      <c r="F575" s="49"/>
      <c r="G575" s="209"/>
      <c r="H575" s="210"/>
      <c r="I575" s="64"/>
      <c r="J575" s="50"/>
    </row>
    <row r="576" spans="1:10">
      <c r="A576" s="171" t="s">
        <v>154</v>
      </c>
      <c r="B576" s="211" t="s">
        <v>514</v>
      </c>
      <c r="C576" s="173" t="s">
        <v>110</v>
      </c>
      <c r="D576" s="173" t="s">
        <v>32</v>
      </c>
      <c r="E576" s="173" t="s">
        <v>115</v>
      </c>
      <c r="F576" s="173" t="s">
        <v>515</v>
      </c>
      <c r="G576" s="173"/>
      <c r="H576" s="173"/>
      <c r="I576" s="173">
        <v>1</v>
      </c>
      <c r="J576" s="214">
        <v>0.099</v>
      </c>
    </row>
    <row r="577" spans="1:10">
      <c r="A577" s="176"/>
      <c r="B577" s="178"/>
      <c r="C577" s="178" t="s">
        <v>516</v>
      </c>
      <c r="D577" s="178" t="s">
        <v>32</v>
      </c>
      <c r="E577" s="178" t="s">
        <v>115</v>
      </c>
      <c r="F577" s="178" t="s">
        <v>517</v>
      </c>
      <c r="G577" s="178"/>
      <c r="H577" s="178"/>
      <c r="I577" s="178">
        <v>2</v>
      </c>
      <c r="J577" s="215">
        <v>0.1056</v>
      </c>
    </row>
    <row r="578" spans="1:10">
      <c r="A578" s="176"/>
      <c r="B578" s="178"/>
      <c r="C578" s="178" t="s">
        <v>117</v>
      </c>
      <c r="D578" s="178" t="s">
        <v>32</v>
      </c>
      <c r="E578" s="178" t="s">
        <v>115</v>
      </c>
      <c r="F578" s="178" t="s">
        <v>518</v>
      </c>
      <c r="G578" s="178"/>
      <c r="H578" s="178"/>
      <c r="I578" s="178">
        <v>1</v>
      </c>
      <c r="J578" s="215">
        <v>0.2178</v>
      </c>
    </row>
    <row r="579" spans="1:10">
      <c r="A579" s="176"/>
      <c r="B579" s="178"/>
      <c r="C579" s="178" t="s">
        <v>119</v>
      </c>
      <c r="D579" s="178" t="s">
        <v>32</v>
      </c>
      <c r="E579" s="178" t="s">
        <v>111</v>
      </c>
      <c r="F579" s="178" t="s">
        <v>519</v>
      </c>
      <c r="G579" s="178"/>
      <c r="H579" s="178"/>
      <c r="I579" s="178">
        <v>1</v>
      </c>
      <c r="J579" s="215">
        <v>0.192</v>
      </c>
    </row>
    <row r="580" spans="1:10">
      <c r="A580" s="176"/>
      <c r="B580" s="178"/>
      <c r="C580" s="178" t="s">
        <v>121</v>
      </c>
      <c r="D580" s="178" t="s">
        <v>32</v>
      </c>
      <c r="E580" s="178" t="s">
        <v>115</v>
      </c>
      <c r="F580" s="178" t="s">
        <v>520</v>
      </c>
      <c r="G580" s="178"/>
      <c r="H580" s="178"/>
      <c r="I580" s="178">
        <v>1</v>
      </c>
      <c r="J580" s="215">
        <v>0.1316</v>
      </c>
    </row>
    <row r="581" spans="1:10">
      <c r="A581" s="176"/>
      <c r="B581" s="178"/>
      <c r="C581" s="178" t="s">
        <v>123</v>
      </c>
      <c r="D581" s="178" t="s">
        <v>32</v>
      </c>
      <c r="E581" s="178" t="s">
        <v>115</v>
      </c>
      <c r="F581" s="178" t="s">
        <v>520</v>
      </c>
      <c r="G581" s="178"/>
      <c r="H581" s="178"/>
      <c r="I581" s="178">
        <v>1</v>
      </c>
      <c r="J581" s="215">
        <v>0.1316</v>
      </c>
    </row>
    <row r="582" spans="1:10">
      <c r="A582" s="176"/>
      <c r="B582" s="178"/>
      <c r="C582" s="178" t="s">
        <v>124</v>
      </c>
      <c r="D582" s="178" t="s">
        <v>32</v>
      </c>
      <c r="E582" s="178" t="s">
        <v>115</v>
      </c>
      <c r="F582" s="178" t="s">
        <v>521</v>
      </c>
      <c r="G582" s="178"/>
      <c r="H582" s="178"/>
      <c r="I582" s="178">
        <v>1</v>
      </c>
      <c r="J582" s="215">
        <v>0.055</v>
      </c>
    </row>
    <row r="583" spans="1:10">
      <c r="A583" s="176"/>
      <c r="B583" s="178"/>
      <c r="C583" s="178" t="s">
        <v>126</v>
      </c>
      <c r="D583" s="178" t="s">
        <v>32</v>
      </c>
      <c r="E583" s="178" t="s">
        <v>115</v>
      </c>
      <c r="F583" s="178" t="s">
        <v>521</v>
      </c>
      <c r="G583" s="178"/>
      <c r="H583" s="178"/>
      <c r="I583" s="178">
        <v>1</v>
      </c>
      <c r="J583" s="215">
        <v>0.055</v>
      </c>
    </row>
    <row r="584" spans="1:10">
      <c r="A584" s="176"/>
      <c r="B584" s="178"/>
      <c r="C584" s="178" t="s">
        <v>127</v>
      </c>
      <c r="D584" s="178" t="s">
        <v>32</v>
      </c>
      <c r="E584" s="178" t="s">
        <v>115</v>
      </c>
      <c r="F584" s="178" t="s">
        <v>522</v>
      </c>
      <c r="G584" s="178"/>
      <c r="H584" s="178"/>
      <c r="I584" s="178">
        <v>1</v>
      </c>
      <c r="J584" s="215">
        <v>0.1362</v>
      </c>
    </row>
    <row r="585" spans="1:10">
      <c r="A585" s="176"/>
      <c r="B585" s="178"/>
      <c r="C585" s="178" t="s">
        <v>114</v>
      </c>
      <c r="D585" s="178" t="s">
        <v>32</v>
      </c>
      <c r="E585" s="178" t="s">
        <v>115</v>
      </c>
      <c r="F585" s="178" t="s">
        <v>523</v>
      </c>
      <c r="G585" s="178"/>
      <c r="H585" s="178"/>
      <c r="I585" s="178">
        <v>1</v>
      </c>
      <c r="J585" s="215">
        <v>0.1836</v>
      </c>
    </row>
    <row r="586" spans="1:10">
      <c r="A586" s="176"/>
      <c r="B586" s="178"/>
      <c r="C586" s="178" t="s">
        <v>223</v>
      </c>
      <c r="D586" s="178" t="s">
        <v>32</v>
      </c>
      <c r="E586" s="178" t="s">
        <v>115</v>
      </c>
      <c r="F586" s="178" t="s">
        <v>515</v>
      </c>
      <c r="G586" s="178"/>
      <c r="H586" s="178"/>
      <c r="I586" s="178">
        <v>1</v>
      </c>
      <c r="J586" s="215">
        <v>0.099</v>
      </c>
    </row>
    <row r="587" spans="1:10">
      <c r="A587" s="176"/>
      <c r="B587" s="178"/>
      <c r="C587" s="178" t="s">
        <v>142</v>
      </c>
      <c r="D587" s="178" t="s">
        <v>32</v>
      </c>
      <c r="E587" s="178" t="s">
        <v>111</v>
      </c>
      <c r="F587" s="178" t="s">
        <v>524</v>
      </c>
      <c r="G587" s="178"/>
      <c r="H587" s="178"/>
      <c r="I587" s="178">
        <v>1</v>
      </c>
      <c r="J587" s="215">
        <v>0.2436</v>
      </c>
    </row>
    <row r="588" spans="1:10">
      <c r="A588" s="176"/>
      <c r="B588" s="178"/>
      <c r="C588" s="178" t="s">
        <v>47</v>
      </c>
      <c r="D588" s="178" t="s">
        <v>570</v>
      </c>
      <c r="E588" s="178" t="s">
        <v>48</v>
      </c>
      <c r="F588" s="178" t="s">
        <v>49</v>
      </c>
      <c r="G588" s="178"/>
      <c r="H588" s="178"/>
      <c r="I588" s="178">
        <v>24</v>
      </c>
      <c r="J588" s="180" t="s">
        <v>4</v>
      </c>
    </row>
    <row r="589" spans="1:10">
      <c r="A589" s="176"/>
      <c r="B589" s="178"/>
      <c r="C589" s="178" t="s">
        <v>53</v>
      </c>
      <c r="D589" s="178" t="s">
        <v>570</v>
      </c>
      <c r="E589" s="178" t="s">
        <v>48</v>
      </c>
      <c r="F589" s="178" t="s">
        <v>54</v>
      </c>
      <c r="G589" s="178"/>
      <c r="H589" s="178"/>
      <c r="I589" s="178">
        <v>1</v>
      </c>
      <c r="J589" s="180" t="s">
        <v>4</v>
      </c>
    </row>
    <row r="590" ht="14.25" spans="1:10">
      <c r="A590" s="212"/>
      <c r="B590" s="213"/>
      <c r="C590" s="213" t="s">
        <v>151</v>
      </c>
      <c r="D590" s="213" t="s">
        <v>570</v>
      </c>
      <c r="E590" s="213" t="s">
        <v>56</v>
      </c>
      <c r="F590" s="213" t="s">
        <v>152</v>
      </c>
      <c r="G590" s="213"/>
      <c r="H590" s="213"/>
      <c r="I590" s="213">
        <v>1</v>
      </c>
      <c r="J590" s="216" t="s">
        <v>4</v>
      </c>
    </row>
    <row r="592" spans="1:10">
      <c r="A592" s="63" t="s">
        <v>17</v>
      </c>
      <c r="B592" s="64" t="s">
        <v>18</v>
      </c>
      <c r="C592" s="64" t="s">
        <v>105</v>
      </c>
      <c r="D592" s="64" t="s">
        <v>45</v>
      </c>
      <c r="E592" s="64" t="s">
        <v>21</v>
      </c>
      <c r="F592" s="206" t="s">
        <v>46</v>
      </c>
      <c r="G592" s="207"/>
      <c r="H592" s="208"/>
      <c r="I592" s="64" t="s">
        <v>24</v>
      </c>
      <c r="J592" s="50" t="s">
        <v>550</v>
      </c>
    </row>
    <row r="593" ht="14.25" spans="1:10">
      <c r="A593" s="63"/>
      <c r="B593" s="64"/>
      <c r="C593" s="64"/>
      <c r="D593" s="64"/>
      <c r="E593" s="64"/>
      <c r="F593" s="49"/>
      <c r="G593" s="209"/>
      <c r="H593" s="210"/>
      <c r="I593" s="64"/>
      <c r="J593" s="50"/>
    </row>
    <row r="594" spans="1:10">
      <c r="A594" s="171" t="s">
        <v>196</v>
      </c>
      <c r="B594" s="211" t="s">
        <v>526</v>
      </c>
      <c r="C594" s="173" t="s">
        <v>110</v>
      </c>
      <c r="D594" s="173" t="s">
        <v>32</v>
      </c>
      <c r="E594" s="173" t="s">
        <v>115</v>
      </c>
      <c r="F594" s="173" t="s">
        <v>515</v>
      </c>
      <c r="G594" s="173"/>
      <c r="H594" s="173"/>
      <c r="I594" s="173">
        <v>1</v>
      </c>
      <c r="J594" s="214">
        <v>0.099</v>
      </c>
    </row>
    <row r="595" spans="1:10">
      <c r="A595" s="176"/>
      <c r="B595" s="178"/>
      <c r="C595" s="178" t="s">
        <v>516</v>
      </c>
      <c r="D595" s="178" t="s">
        <v>32</v>
      </c>
      <c r="E595" s="178" t="s">
        <v>115</v>
      </c>
      <c r="F595" s="178" t="s">
        <v>527</v>
      </c>
      <c r="G595" s="178"/>
      <c r="H595" s="178"/>
      <c r="I595" s="178">
        <v>2</v>
      </c>
      <c r="J595" s="215">
        <v>0.1371</v>
      </c>
    </row>
    <row r="596" spans="1:10">
      <c r="A596" s="176"/>
      <c r="B596" s="178"/>
      <c r="C596" s="178" t="s">
        <v>117</v>
      </c>
      <c r="D596" s="178" t="s">
        <v>32</v>
      </c>
      <c r="E596" s="178" t="s">
        <v>115</v>
      </c>
      <c r="F596" s="178" t="s">
        <v>528</v>
      </c>
      <c r="G596" s="178"/>
      <c r="H596" s="178"/>
      <c r="I596" s="178">
        <v>1</v>
      </c>
      <c r="J596" s="215">
        <v>0.2828</v>
      </c>
    </row>
    <row r="597" spans="1:10">
      <c r="A597" s="176"/>
      <c r="B597" s="178"/>
      <c r="C597" s="178" t="s">
        <v>114</v>
      </c>
      <c r="D597" s="178" t="s">
        <v>32</v>
      </c>
      <c r="E597" s="178" t="s">
        <v>115</v>
      </c>
      <c r="F597" s="178" t="s">
        <v>529</v>
      </c>
      <c r="G597" s="178"/>
      <c r="H597" s="178"/>
      <c r="I597" s="178">
        <v>1</v>
      </c>
      <c r="J597" s="215">
        <v>0.2262</v>
      </c>
    </row>
    <row r="598" spans="1:10">
      <c r="A598" s="176"/>
      <c r="B598" s="178"/>
      <c r="C598" s="178" t="s">
        <v>223</v>
      </c>
      <c r="D598" s="178" t="s">
        <v>32</v>
      </c>
      <c r="E598" s="178" t="s">
        <v>115</v>
      </c>
      <c r="F598" s="178" t="s">
        <v>515</v>
      </c>
      <c r="G598" s="178"/>
      <c r="H598" s="178"/>
      <c r="I598" s="178">
        <v>1</v>
      </c>
      <c r="J598" s="215">
        <v>0.099</v>
      </c>
    </row>
    <row r="599" spans="1:10">
      <c r="A599" s="176"/>
      <c r="B599" s="178"/>
      <c r="C599" s="178" t="s">
        <v>220</v>
      </c>
      <c r="D599" s="178" t="s">
        <v>32</v>
      </c>
      <c r="E599" s="178" t="s">
        <v>111</v>
      </c>
      <c r="F599" s="178" t="s">
        <v>530</v>
      </c>
      <c r="G599" s="178"/>
      <c r="H599" s="178"/>
      <c r="I599" s="178">
        <v>1</v>
      </c>
      <c r="J599" s="215">
        <v>0.3126</v>
      </c>
    </row>
    <row r="600" spans="1:10">
      <c r="A600" s="176"/>
      <c r="B600" s="178"/>
      <c r="C600" s="178" t="s">
        <v>531</v>
      </c>
      <c r="D600" s="178" t="s">
        <v>32</v>
      </c>
      <c r="E600" s="178" t="s">
        <v>111</v>
      </c>
      <c r="F600" s="178" t="s">
        <v>532</v>
      </c>
      <c r="G600" s="178"/>
      <c r="H600" s="178"/>
      <c r="I600" s="178">
        <v>1</v>
      </c>
      <c r="J600" s="215">
        <v>0.2465</v>
      </c>
    </row>
    <row r="601" spans="1:10">
      <c r="A601" s="176"/>
      <c r="B601" s="178"/>
      <c r="C601" s="178" t="s">
        <v>47</v>
      </c>
      <c r="D601" s="178" t="s">
        <v>570</v>
      </c>
      <c r="E601" s="178" t="s">
        <v>48</v>
      </c>
      <c r="F601" s="178" t="s">
        <v>49</v>
      </c>
      <c r="G601" s="178"/>
      <c r="H601" s="178"/>
      <c r="I601" s="178">
        <v>19</v>
      </c>
      <c r="J601" s="180" t="s">
        <v>4</v>
      </c>
    </row>
    <row r="602" spans="1:10">
      <c r="A602" s="176"/>
      <c r="B602" s="178"/>
      <c r="C602" s="178" t="s">
        <v>55</v>
      </c>
      <c r="D602" s="178" t="s">
        <v>570</v>
      </c>
      <c r="E602" s="178" t="s">
        <v>56</v>
      </c>
      <c r="F602" s="178" t="s">
        <v>57</v>
      </c>
      <c r="G602" s="178"/>
      <c r="H602" s="178"/>
      <c r="I602" s="178">
        <v>2</v>
      </c>
      <c r="J602" s="180" t="s">
        <v>4</v>
      </c>
    </row>
    <row r="603" ht="14.25" spans="1:10">
      <c r="A603" s="212"/>
      <c r="B603" s="213"/>
      <c r="C603" s="213" t="s">
        <v>151</v>
      </c>
      <c r="D603" s="213" t="s">
        <v>570</v>
      </c>
      <c r="E603" s="213" t="s">
        <v>56</v>
      </c>
      <c r="F603" s="213" t="s">
        <v>152</v>
      </c>
      <c r="G603" s="213"/>
      <c r="H603" s="213"/>
      <c r="I603" s="213">
        <v>1</v>
      </c>
      <c r="J603" s="216" t="s">
        <v>4</v>
      </c>
    </row>
    <row r="605" spans="1:10">
      <c r="A605" s="63" t="s">
        <v>17</v>
      </c>
      <c r="B605" s="64" t="s">
        <v>18</v>
      </c>
      <c r="C605" s="64" t="s">
        <v>105</v>
      </c>
      <c r="D605" s="64" t="s">
        <v>45</v>
      </c>
      <c r="E605" s="64" t="s">
        <v>21</v>
      </c>
      <c r="F605" s="206" t="s">
        <v>46</v>
      </c>
      <c r="G605" s="207"/>
      <c r="H605" s="208"/>
      <c r="I605" s="64" t="s">
        <v>24</v>
      </c>
      <c r="J605" s="50" t="s">
        <v>550</v>
      </c>
    </row>
    <row r="606" ht="14.25" spans="1:10">
      <c r="A606" s="63"/>
      <c r="B606" s="64"/>
      <c r="C606" s="64"/>
      <c r="D606" s="64"/>
      <c r="E606" s="64"/>
      <c r="F606" s="49"/>
      <c r="G606" s="209"/>
      <c r="H606" s="210"/>
      <c r="I606" s="64"/>
      <c r="J606" s="50"/>
    </row>
    <row r="607" spans="1:10">
      <c r="A607" s="171" t="s">
        <v>211</v>
      </c>
      <c r="B607" s="211" t="s">
        <v>534</v>
      </c>
      <c r="C607" s="173" t="s">
        <v>110</v>
      </c>
      <c r="D607" s="173" t="s">
        <v>32</v>
      </c>
      <c r="E607" s="173" t="s">
        <v>115</v>
      </c>
      <c r="F607" s="173" t="s">
        <v>515</v>
      </c>
      <c r="G607" s="173"/>
      <c r="H607" s="173"/>
      <c r="I607" s="173">
        <v>1</v>
      </c>
      <c r="J607" s="214">
        <v>0.099</v>
      </c>
    </row>
    <row r="608" spans="1:10">
      <c r="A608" s="176"/>
      <c r="B608" s="178"/>
      <c r="C608" s="178" t="s">
        <v>516</v>
      </c>
      <c r="D608" s="178" t="s">
        <v>32</v>
      </c>
      <c r="E608" s="178" t="s">
        <v>115</v>
      </c>
      <c r="F608" s="178" t="s">
        <v>535</v>
      </c>
      <c r="G608" s="178"/>
      <c r="H608" s="178"/>
      <c r="I608" s="178">
        <v>2</v>
      </c>
      <c r="J608" s="215">
        <v>0.22</v>
      </c>
    </row>
    <row r="609" spans="1:10">
      <c r="A609" s="176"/>
      <c r="B609" s="178"/>
      <c r="C609" s="178" t="s">
        <v>117</v>
      </c>
      <c r="D609" s="178" t="s">
        <v>32</v>
      </c>
      <c r="E609" s="178" t="s">
        <v>115</v>
      </c>
      <c r="F609" s="178" t="s">
        <v>536</v>
      </c>
      <c r="G609" s="178"/>
      <c r="H609" s="178"/>
      <c r="I609" s="178">
        <v>1</v>
      </c>
      <c r="J609" s="215">
        <v>0.4538</v>
      </c>
    </row>
    <row r="610" spans="1:10">
      <c r="A610" s="176"/>
      <c r="B610" s="178"/>
      <c r="C610" s="178" t="s">
        <v>119</v>
      </c>
      <c r="D610" s="178" t="s">
        <v>32</v>
      </c>
      <c r="E610" s="178" t="s">
        <v>111</v>
      </c>
      <c r="F610" s="178" t="s">
        <v>537</v>
      </c>
      <c r="G610" s="178"/>
      <c r="H610" s="178"/>
      <c r="I610" s="178">
        <v>1</v>
      </c>
      <c r="J610" s="215">
        <v>0.1922</v>
      </c>
    </row>
    <row r="611" spans="1:10">
      <c r="A611" s="176"/>
      <c r="B611" s="178"/>
      <c r="C611" s="178" t="s">
        <v>121</v>
      </c>
      <c r="D611" s="178" t="s">
        <v>32</v>
      </c>
      <c r="E611" s="178" t="s">
        <v>115</v>
      </c>
      <c r="F611" s="178" t="s">
        <v>538</v>
      </c>
      <c r="G611" s="178"/>
      <c r="H611" s="178"/>
      <c r="I611" s="178">
        <v>1</v>
      </c>
      <c r="J611" s="215">
        <v>0.1338</v>
      </c>
    </row>
    <row r="612" spans="1:10">
      <c r="A612" s="176"/>
      <c r="B612" s="178"/>
      <c r="C612" s="178" t="s">
        <v>123</v>
      </c>
      <c r="D612" s="178" t="s">
        <v>32</v>
      </c>
      <c r="E612" s="178" t="s">
        <v>115</v>
      </c>
      <c r="F612" s="178" t="s">
        <v>538</v>
      </c>
      <c r="G612" s="178"/>
      <c r="H612" s="178"/>
      <c r="I612" s="178">
        <v>1</v>
      </c>
      <c r="J612" s="215">
        <v>0.1338</v>
      </c>
    </row>
    <row r="613" spans="1:10">
      <c r="A613" s="176"/>
      <c r="B613" s="178"/>
      <c r="C613" s="178" t="s">
        <v>124</v>
      </c>
      <c r="D613" s="178" t="s">
        <v>32</v>
      </c>
      <c r="E613" s="178" t="s">
        <v>115</v>
      </c>
      <c r="F613" s="178" t="s">
        <v>521</v>
      </c>
      <c r="G613" s="178"/>
      <c r="H613" s="178"/>
      <c r="I613" s="178">
        <v>2</v>
      </c>
      <c r="J613" s="215">
        <v>0.11</v>
      </c>
    </row>
    <row r="614" spans="1:10">
      <c r="A614" s="176"/>
      <c r="B614" s="178"/>
      <c r="C614" s="178" t="s">
        <v>126</v>
      </c>
      <c r="D614" s="178" t="s">
        <v>32</v>
      </c>
      <c r="E614" s="178" t="s">
        <v>115</v>
      </c>
      <c r="F614" s="178" t="s">
        <v>521</v>
      </c>
      <c r="G614" s="178"/>
      <c r="H614" s="178"/>
      <c r="I614" s="178">
        <v>2</v>
      </c>
      <c r="J614" s="215">
        <v>0.11</v>
      </c>
    </row>
    <row r="615" spans="1:10">
      <c r="A615" s="176"/>
      <c r="B615" s="178"/>
      <c r="C615" s="178" t="s">
        <v>127</v>
      </c>
      <c r="D615" s="178" t="s">
        <v>32</v>
      </c>
      <c r="E615" s="178" t="s">
        <v>115</v>
      </c>
      <c r="F615" s="178" t="s">
        <v>539</v>
      </c>
      <c r="G615" s="178"/>
      <c r="H615" s="178"/>
      <c r="I615" s="178">
        <v>1</v>
      </c>
      <c r="J615" s="215">
        <v>0.1384</v>
      </c>
    </row>
    <row r="616" spans="1:10">
      <c r="A616" s="176"/>
      <c r="B616" s="178"/>
      <c r="C616" s="178" t="s">
        <v>114</v>
      </c>
      <c r="D616" s="178" t="s">
        <v>32</v>
      </c>
      <c r="E616" s="178" t="s">
        <v>115</v>
      </c>
      <c r="F616" s="178" t="s">
        <v>540</v>
      </c>
      <c r="G616" s="178"/>
      <c r="H616" s="178"/>
      <c r="I616" s="178">
        <v>1</v>
      </c>
      <c r="J616" s="215">
        <v>0.1863</v>
      </c>
    </row>
    <row r="617" spans="1:10">
      <c r="A617" s="176"/>
      <c r="B617" s="178"/>
      <c r="C617" s="178" t="s">
        <v>221</v>
      </c>
      <c r="D617" s="178" t="s">
        <v>32</v>
      </c>
      <c r="E617" s="178" t="s">
        <v>115</v>
      </c>
      <c r="F617" s="178" t="s">
        <v>541</v>
      </c>
      <c r="G617" s="178"/>
      <c r="H617" s="178"/>
      <c r="I617" s="178">
        <v>1</v>
      </c>
      <c r="J617" s="215">
        <v>0.0871</v>
      </c>
    </row>
    <row r="618" spans="1:10">
      <c r="A618" s="176"/>
      <c r="B618" s="178"/>
      <c r="C618" s="178" t="s">
        <v>119</v>
      </c>
      <c r="D618" s="178" t="s">
        <v>32</v>
      </c>
      <c r="E618" s="178" t="s">
        <v>111</v>
      </c>
      <c r="F618" s="178" t="s">
        <v>519</v>
      </c>
      <c r="G618" s="178"/>
      <c r="H618" s="178"/>
      <c r="I618" s="178">
        <v>1</v>
      </c>
      <c r="J618" s="215">
        <v>0.192</v>
      </c>
    </row>
    <row r="619" spans="1:10">
      <c r="A619" s="176"/>
      <c r="B619" s="178"/>
      <c r="C619" s="178" t="s">
        <v>121</v>
      </c>
      <c r="D619" s="178" t="s">
        <v>32</v>
      </c>
      <c r="E619" s="178" t="s">
        <v>115</v>
      </c>
      <c r="F619" s="178" t="s">
        <v>542</v>
      </c>
      <c r="G619" s="178"/>
      <c r="H619" s="178"/>
      <c r="I619" s="178">
        <v>1</v>
      </c>
      <c r="J619" s="215">
        <v>0.1375</v>
      </c>
    </row>
    <row r="620" spans="1:10">
      <c r="A620" s="176"/>
      <c r="B620" s="178"/>
      <c r="C620" s="178" t="s">
        <v>123</v>
      </c>
      <c r="D620" s="178" t="s">
        <v>32</v>
      </c>
      <c r="E620" s="178" t="s">
        <v>115</v>
      </c>
      <c r="F620" s="178" t="s">
        <v>542</v>
      </c>
      <c r="G620" s="178"/>
      <c r="H620" s="178"/>
      <c r="I620" s="178">
        <v>1</v>
      </c>
      <c r="J620" s="215">
        <v>0.1375</v>
      </c>
    </row>
    <row r="621" spans="1:10">
      <c r="A621" s="176"/>
      <c r="B621" s="178"/>
      <c r="C621" s="178" t="s">
        <v>127</v>
      </c>
      <c r="D621" s="178" t="s">
        <v>32</v>
      </c>
      <c r="E621" s="178" t="s">
        <v>115</v>
      </c>
      <c r="F621" s="178" t="s">
        <v>543</v>
      </c>
      <c r="G621" s="178"/>
      <c r="H621" s="178"/>
      <c r="I621" s="178">
        <v>1</v>
      </c>
      <c r="J621" s="215">
        <v>0.1422</v>
      </c>
    </row>
    <row r="622" spans="1:10">
      <c r="A622" s="176"/>
      <c r="B622" s="178"/>
      <c r="C622" s="178" t="s">
        <v>114</v>
      </c>
      <c r="D622" s="178" t="s">
        <v>32</v>
      </c>
      <c r="E622" s="178" t="s">
        <v>115</v>
      </c>
      <c r="F622" s="178" t="s">
        <v>544</v>
      </c>
      <c r="G622" s="178"/>
      <c r="H622" s="178"/>
      <c r="I622" s="178">
        <v>1</v>
      </c>
      <c r="J622" s="215">
        <v>0.191</v>
      </c>
    </row>
    <row r="623" spans="1:10">
      <c r="A623" s="176"/>
      <c r="B623" s="178"/>
      <c r="C623" s="178" t="s">
        <v>223</v>
      </c>
      <c r="D623" s="178" t="s">
        <v>32</v>
      </c>
      <c r="E623" s="178" t="s">
        <v>111</v>
      </c>
      <c r="F623" s="178" t="s">
        <v>545</v>
      </c>
      <c r="G623" s="178"/>
      <c r="H623" s="178"/>
      <c r="I623" s="178">
        <v>1</v>
      </c>
      <c r="J623" s="215">
        <v>0.105</v>
      </c>
    </row>
    <row r="624" spans="1:10">
      <c r="A624" s="176"/>
      <c r="B624" s="178"/>
      <c r="C624" s="178" t="s">
        <v>142</v>
      </c>
      <c r="D624" s="178" t="s">
        <v>32</v>
      </c>
      <c r="E624" s="178" t="s">
        <v>111</v>
      </c>
      <c r="F624" s="178" t="s">
        <v>546</v>
      </c>
      <c r="G624" s="178"/>
      <c r="H624" s="178"/>
      <c r="I624" s="178">
        <v>1</v>
      </c>
      <c r="J624" s="215">
        <v>0.4938</v>
      </c>
    </row>
    <row r="625" spans="1:10">
      <c r="A625" s="176"/>
      <c r="B625" s="178"/>
      <c r="C625" s="178" t="s">
        <v>47</v>
      </c>
      <c r="D625" s="178" t="s">
        <v>570</v>
      </c>
      <c r="E625" s="178" t="s">
        <v>48</v>
      </c>
      <c r="F625" s="178" t="s">
        <v>49</v>
      </c>
      <c r="G625" s="178"/>
      <c r="H625" s="178"/>
      <c r="I625" s="178">
        <v>36</v>
      </c>
      <c r="J625" s="180" t="s">
        <v>4</v>
      </c>
    </row>
    <row r="626" spans="1:10">
      <c r="A626" s="176"/>
      <c r="B626" s="178"/>
      <c r="C626" s="178" t="s">
        <v>53</v>
      </c>
      <c r="D626" s="178" t="s">
        <v>570</v>
      </c>
      <c r="E626" s="178" t="s">
        <v>48</v>
      </c>
      <c r="F626" s="178" t="s">
        <v>54</v>
      </c>
      <c r="G626" s="178"/>
      <c r="H626" s="178"/>
      <c r="I626" s="178">
        <v>2</v>
      </c>
      <c r="J626" s="180" t="s">
        <v>4</v>
      </c>
    </row>
    <row r="627" ht="14.25" spans="1:10">
      <c r="A627" s="212"/>
      <c r="B627" s="213"/>
      <c r="C627" s="213" t="s">
        <v>151</v>
      </c>
      <c r="D627" s="213" t="s">
        <v>570</v>
      </c>
      <c r="E627" s="213" t="s">
        <v>56</v>
      </c>
      <c r="F627" s="213" t="s">
        <v>152</v>
      </c>
      <c r="G627" s="213"/>
      <c r="H627" s="213"/>
      <c r="I627" s="213">
        <v>2</v>
      </c>
      <c r="J627" s="216" t="s">
        <v>4</v>
      </c>
    </row>
    <row r="628" ht="14.25"/>
    <row r="629" ht="14.25" spans="1:10">
      <c r="A629" s="218" t="s">
        <v>98</v>
      </c>
      <c r="B629" s="219"/>
      <c r="C629" s="219"/>
      <c r="D629" s="219"/>
      <c r="E629" s="219"/>
      <c r="F629" s="219"/>
      <c r="G629" s="219"/>
      <c r="H629" s="219"/>
      <c r="I629" s="219"/>
      <c r="J629" s="220"/>
    </row>
  </sheetData>
  <mergeCells count="796">
    <mergeCell ref="A1:J1"/>
    <mergeCell ref="B2:C2"/>
    <mergeCell ref="E2:F2"/>
    <mergeCell ref="H2:J2"/>
    <mergeCell ref="B3:C3"/>
    <mergeCell ref="E3:F3"/>
    <mergeCell ref="H3:J3"/>
    <mergeCell ref="B4:C4"/>
    <mergeCell ref="E4:F4"/>
    <mergeCell ref="H4:J4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3:H143"/>
    <mergeCell ref="F144:H144"/>
    <mergeCell ref="F145:H145"/>
    <mergeCell ref="F146:H146"/>
    <mergeCell ref="F147:H147"/>
    <mergeCell ref="F148:H148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71:H171"/>
    <mergeCell ref="F172:H172"/>
    <mergeCell ref="F173:H173"/>
    <mergeCell ref="F174:H174"/>
    <mergeCell ref="F175:H175"/>
    <mergeCell ref="F176:H176"/>
    <mergeCell ref="F177:H177"/>
    <mergeCell ref="F178:H178"/>
    <mergeCell ref="F179:H179"/>
    <mergeCell ref="F180:H180"/>
    <mergeCell ref="F181:H181"/>
    <mergeCell ref="F182:H182"/>
    <mergeCell ref="F183:H183"/>
    <mergeCell ref="F184:H184"/>
    <mergeCell ref="F188:H188"/>
    <mergeCell ref="F189:H189"/>
    <mergeCell ref="F190:H190"/>
    <mergeCell ref="F191:H191"/>
    <mergeCell ref="F192:H192"/>
    <mergeCell ref="F193:H193"/>
    <mergeCell ref="F194:H194"/>
    <mergeCell ref="F195:H195"/>
    <mergeCell ref="F196:H196"/>
    <mergeCell ref="F197:H197"/>
    <mergeCell ref="F198:H198"/>
    <mergeCell ref="F199:H199"/>
    <mergeCell ref="F200:H200"/>
    <mergeCell ref="F201:H201"/>
    <mergeCell ref="F202:H202"/>
    <mergeCell ref="F203:H203"/>
    <mergeCell ref="F204:H204"/>
    <mergeCell ref="F205:H205"/>
    <mergeCell ref="F206:H206"/>
    <mergeCell ref="F207:H207"/>
    <mergeCell ref="F208:H208"/>
    <mergeCell ref="F209:H209"/>
    <mergeCell ref="F210:H210"/>
    <mergeCell ref="F211:H211"/>
    <mergeCell ref="F212:H212"/>
    <mergeCell ref="F213:H213"/>
    <mergeCell ref="F214:H214"/>
    <mergeCell ref="F215:H215"/>
    <mergeCell ref="F219:H219"/>
    <mergeCell ref="F220:H220"/>
    <mergeCell ref="F221:H221"/>
    <mergeCell ref="F222:H222"/>
    <mergeCell ref="F223:H223"/>
    <mergeCell ref="F224:H224"/>
    <mergeCell ref="F225:H225"/>
    <mergeCell ref="F226:H226"/>
    <mergeCell ref="F227:H227"/>
    <mergeCell ref="F228:H228"/>
    <mergeCell ref="F229:H229"/>
    <mergeCell ref="F230:H230"/>
    <mergeCell ref="F231:H231"/>
    <mergeCell ref="F232:H232"/>
    <mergeCell ref="F233:H233"/>
    <mergeCell ref="F234:H234"/>
    <mergeCell ref="F235:H235"/>
    <mergeCell ref="F236:H236"/>
    <mergeCell ref="F237:H237"/>
    <mergeCell ref="F238:H238"/>
    <mergeCell ref="F239:H239"/>
    <mergeCell ref="F240:H240"/>
    <mergeCell ref="F244:H244"/>
    <mergeCell ref="F245:H245"/>
    <mergeCell ref="F246:H246"/>
    <mergeCell ref="F247:H247"/>
    <mergeCell ref="F248:H248"/>
    <mergeCell ref="F249:H249"/>
    <mergeCell ref="F250:H250"/>
    <mergeCell ref="F251:H251"/>
    <mergeCell ref="F252:H252"/>
    <mergeCell ref="F253:H253"/>
    <mergeCell ref="F254:H254"/>
    <mergeCell ref="F255:H255"/>
    <mergeCell ref="F256:H256"/>
    <mergeCell ref="F257:H257"/>
    <mergeCell ref="F258:H258"/>
    <mergeCell ref="F259:H259"/>
    <mergeCell ref="F260:H260"/>
    <mergeCell ref="F261:H261"/>
    <mergeCell ref="F262:H262"/>
    <mergeCell ref="F263:H263"/>
    <mergeCell ref="F264:H264"/>
    <mergeCell ref="F265:H265"/>
    <mergeCell ref="F266:H266"/>
    <mergeCell ref="F267:H267"/>
    <mergeCell ref="F268:H268"/>
    <mergeCell ref="F269:H269"/>
    <mergeCell ref="F270:H270"/>
    <mergeCell ref="F271:H271"/>
    <mergeCell ref="F272:H272"/>
    <mergeCell ref="F273:H273"/>
    <mergeCell ref="F277:H277"/>
    <mergeCell ref="F278:H278"/>
    <mergeCell ref="F279:H279"/>
    <mergeCell ref="F280:H280"/>
    <mergeCell ref="F281:H281"/>
    <mergeCell ref="F282:H282"/>
    <mergeCell ref="F283:H283"/>
    <mergeCell ref="F284:H284"/>
    <mergeCell ref="F285:H285"/>
    <mergeCell ref="F286:H286"/>
    <mergeCell ref="F287:H287"/>
    <mergeCell ref="F288:H288"/>
    <mergeCell ref="F289:H289"/>
    <mergeCell ref="F290:H290"/>
    <mergeCell ref="F291:H291"/>
    <mergeCell ref="F292:H292"/>
    <mergeCell ref="F293:H293"/>
    <mergeCell ref="F294:H294"/>
    <mergeCell ref="F295:H295"/>
    <mergeCell ref="F296:H296"/>
    <mergeCell ref="F297:H297"/>
    <mergeCell ref="F298:H298"/>
    <mergeCell ref="F299:H299"/>
    <mergeCell ref="F300:H300"/>
    <mergeCell ref="F301:H301"/>
    <mergeCell ref="F302:H302"/>
    <mergeCell ref="F303:H303"/>
    <mergeCell ref="F304:H304"/>
    <mergeCell ref="F308:H308"/>
    <mergeCell ref="F309:H309"/>
    <mergeCell ref="F310:H310"/>
    <mergeCell ref="F311:H311"/>
    <mergeCell ref="F312:H312"/>
    <mergeCell ref="F313:H313"/>
    <mergeCell ref="F314:H314"/>
    <mergeCell ref="F315:H315"/>
    <mergeCell ref="F316:H316"/>
    <mergeCell ref="F317:H317"/>
    <mergeCell ref="F318:H318"/>
    <mergeCell ref="F319:H319"/>
    <mergeCell ref="F320:H320"/>
    <mergeCell ref="F321:H321"/>
    <mergeCell ref="F322:H322"/>
    <mergeCell ref="F323:H323"/>
    <mergeCell ref="F324:H324"/>
    <mergeCell ref="F325:H325"/>
    <mergeCell ref="F326:H326"/>
    <mergeCell ref="F327:H327"/>
    <mergeCell ref="F328:H328"/>
    <mergeCell ref="F329:H329"/>
    <mergeCell ref="F330:H330"/>
    <mergeCell ref="F331:H331"/>
    <mergeCell ref="F335:H335"/>
    <mergeCell ref="F336:H336"/>
    <mergeCell ref="F337:H337"/>
    <mergeCell ref="F341:H341"/>
    <mergeCell ref="F342:H342"/>
    <mergeCell ref="F343:H343"/>
    <mergeCell ref="F344:H344"/>
    <mergeCell ref="F345:H345"/>
    <mergeCell ref="F346:H346"/>
    <mergeCell ref="F347:H347"/>
    <mergeCell ref="F348:H348"/>
    <mergeCell ref="F349:H349"/>
    <mergeCell ref="F350:H350"/>
    <mergeCell ref="F351:H351"/>
    <mergeCell ref="F352:H352"/>
    <mergeCell ref="F353:H353"/>
    <mergeCell ref="F354:H354"/>
    <mergeCell ref="F355:H355"/>
    <mergeCell ref="F356:H356"/>
    <mergeCell ref="F357:H357"/>
    <mergeCell ref="F358:H358"/>
    <mergeCell ref="F359:H359"/>
    <mergeCell ref="F360:H360"/>
    <mergeCell ref="F361:H361"/>
    <mergeCell ref="F362:H362"/>
    <mergeCell ref="F363:H363"/>
    <mergeCell ref="F364:H364"/>
    <mergeCell ref="F365:H365"/>
    <mergeCell ref="F366:H366"/>
    <mergeCell ref="F367:H367"/>
    <mergeCell ref="F368:H368"/>
    <mergeCell ref="F369:H369"/>
    <mergeCell ref="F370:H370"/>
    <mergeCell ref="F371:H371"/>
    <mergeCell ref="F372:H372"/>
    <mergeCell ref="F373:H373"/>
    <mergeCell ref="F374:H374"/>
    <mergeCell ref="F375:H375"/>
    <mergeCell ref="F376:H376"/>
    <mergeCell ref="F377:H377"/>
    <mergeCell ref="F378:H378"/>
    <mergeCell ref="F379:H379"/>
    <mergeCell ref="F380:H380"/>
    <mergeCell ref="F384:H384"/>
    <mergeCell ref="F385:H385"/>
    <mergeCell ref="F386:H386"/>
    <mergeCell ref="F387:H387"/>
    <mergeCell ref="F388:H388"/>
    <mergeCell ref="F389:H389"/>
    <mergeCell ref="F390:H390"/>
    <mergeCell ref="F391:H391"/>
    <mergeCell ref="F392:H392"/>
    <mergeCell ref="F393:H393"/>
    <mergeCell ref="F394:H394"/>
    <mergeCell ref="F395:H395"/>
    <mergeCell ref="F396:H396"/>
    <mergeCell ref="F397:H397"/>
    <mergeCell ref="F398:H398"/>
    <mergeCell ref="F399:H399"/>
    <mergeCell ref="F400:H400"/>
    <mergeCell ref="F401:H401"/>
    <mergeCell ref="F402:H402"/>
    <mergeCell ref="F403:H403"/>
    <mergeCell ref="F407:H407"/>
    <mergeCell ref="F408:H408"/>
    <mergeCell ref="F409:H409"/>
    <mergeCell ref="F410:H410"/>
    <mergeCell ref="F411:H411"/>
    <mergeCell ref="F412:H412"/>
    <mergeCell ref="F413:H413"/>
    <mergeCell ref="F414:H414"/>
    <mergeCell ref="F415:H415"/>
    <mergeCell ref="F416:H416"/>
    <mergeCell ref="F417:H417"/>
    <mergeCell ref="F418:H418"/>
    <mergeCell ref="F419:H419"/>
    <mergeCell ref="F420:H420"/>
    <mergeCell ref="F421:H421"/>
    <mergeCell ref="F422:H422"/>
    <mergeCell ref="F423:H423"/>
    <mergeCell ref="F424:H424"/>
    <mergeCell ref="F425:H425"/>
    <mergeCell ref="F426:H426"/>
    <mergeCell ref="F427:H427"/>
    <mergeCell ref="F428:H428"/>
    <mergeCell ref="F429:H429"/>
    <mergeCell ref="F433:H433"/>
    <mergeCell ref="F434:H434"/>
    <mergeCell ref="F435:H435"/>
    <mergeCell ref="F436:H436"/>
    <mergeCell ref="F437:H437"/>
    <mergeCell ref="F438:H438"/>
    <mergeCell ref="F439:H439"/>
    <mergeCell ref="F440:H440"/>
    <mergeCell ref="F441:H441"/>
    <mergeCell ref="F442:H442"/>
    <mergeCell ref="F443:H443"/>
    <mergeCell ref="F444:H444"/>
    <mergeCell ref="F445:H445"/>
    <mergeCell ref="F446:H446"/>
    <mergeCell ref="F447:H447"/>
    <mergeCell ref="F448:H448"/>
    <mergeCell ref="F449:H449"/>
    <mergeCell ref="F450:H450"/>
    <mergeCell ref="F451:H451"/>
    <mergeCell ref="F452:H452"/>
    <mergeCell ref="F453:H453"/>
    <mergeCell ref="F454:H454"/>
    <mergeCell ref="F455:H455"/>
    <mergeCell ref="F456:H456"/>
    <mergeCell ref="F457:H457"/>
    <mergeCell ref="F458:H458"/>
    <mergeCell ref="F459:H459"/>
    <mergeCell ref="F460:H460"/>
    <mergeCell ref="F461:H461"/>
    <mergeCell ref="F462:H462"/>
    <mergeCell ref="F463:H463"/>
    <mergeCell ref="F464:H464"/>
    <mergeCell ref="F465:H465"/>
    <mergeCell ref="F466:H466"/>
    <mergeCell ref="F467:H467"/>
    <mergeCell ref="F468:H468"/>
    <mergeCell ref="F469:H469"/>
    <mergeCell ref="F473:H473"/>
    <mergeCell ref="F474:H474"/>
    <mergeCell ref="F475:H475"/>
    <mergeCell ref="F476:H476"/>
    <mergeCell ref="F477:H477"/>
    <mergeCell ref="F478:H478"/>
    <mergeCell ref="F479:H479"/>
    <mergeCell ref="F480:H480"/>
    <mergeCell ref="F481:H481"/>
    <mergeCell ref="F482:H482"/>
    <mergeCell ref="F483:H483"/>
    <mergeCell ref="F484:H484"/>
    <mergeCell ref="F485:H485"/>
    <mergeCell ref="F486:H486"/>
    <mergeCell ref="F487:H487"/>
    <mergeCell ref="F488:H488"/>
    <mergeCell ref="F489:H489"/>
    <mergeCell ref="F490:H490"/>
    <mergeCell ref="F491:H491"/>
    <mergeCell ref="F492:H492"/>
    <mergeCell ref="F493:H493"/>
    <mergeCell ref="F494:H494"/>
    <mergeCell ref="F495:H495"/>
    <mergeCell ref="F496:H496"/>
    <mergeCell ref="F497:H497"/>
    <mergeCell ref="F498:H498"/>
    <mergeCell ref="F499:H499"/>
    <mergeCell ref="F500:H500"/>
    <mergeCell ref="F501:H501"/>
    <mergeCell ref="F502:H502"/>
    <mergeCell ref="F503:H503"/>
    <mergeCell ref="F504:H504"/>
    <mergeCell ref="F505:H505"/>
    <mergeCell ref="F506:H506"/>
    <mergeCell ref="F507:H507"/>
    <mergeCell ref="F508:H508"/>
    <mergeCell ref="F512:H512"/>
    <mergeCell ref="F513:H513"/>
    <mergeCell ref="F514:H514"/>
    <mergeCell ref="F515:H515"/>
    <mergeCell ref="F516:H516"/>
    <mergeCell ref="F517:H517"/>
    <mergeCell ref="F518:H518"/>
    <mergeCell ref="F519:H519"/>
    <mergeCell ref="F520:H520"/>
    <mergeCell ref="F521:H521"/>
    <mergeCell ref="F522:H522"/>
    <mergeCell ref="F523:H523"/>
    <mergeCell ref="F524:H524"/>
    <mergeCell ref="F525:H525"/>
    <mergeCell ref="F526:H526"/>
    <mergeCell ref="F527:H527"/>
    <mergeCell ref="F528:H528"/>
    <mergeCell ref="F529:H529"/>
    <mergeCell ref="F530:H530"/>
    <mergeCell ref="F531:H531"/>
    <mergeCell ref="F532:H532"/>
    <mergeCell ref="F533:H533"/>
    <mergeCell ref="F534:H534"/>
    <mergeCell ref="F535:H535"/>
    <mergeCell ref="F536:H536"/>
    <mergeCell ref="F537:H537"/>
    <mergeCell ref="F538:H538"/>
    <mergeCell ref="F539:H539"/>
    <mergeCell ref="F540:H540"/>
    <mergeCell ref="F541:H541"/>
    <mergeCell ref="F542:H542"/>
    <mergeCell ref="F543:H543"/>
    <mergeCell ref="F544:H544"/>
    <mergeCell ref="F545:H545"/>
    <mergeCell ref="F546:H546"/>
    <mergeCell ref="F547:H547"/>
    <mergeCell ref="F548:H548"/>
    <mergeCell ref="F549:H549"/>
    <mergeCell ref="F550:H550"/>
    <mergeCell ref="F551:H551"/>
    <mergeCell ref="F552:H552"/>
    <mergeCell ref="F553:H553"/>
    <mergeCell ref="F557:H557"/>
    <mergeCell ref="F558:H558"/>
    <mergeCell ref="F559:H559"/>
    <mergeCell ref="F560:H560"/>
    <mergeCell ref="F561:H561"/>
    <mergeCell ref="F562:H562"/>
    <mergeCell ref="F563:H563"/>
    <mergeCell ref="F564:H564"/>
    <mergeCell ref="F565:H565"/>
    <mergeCell ref="F566:H566"/>
    <mergeCell ref="F567:H567"/>
    <mergeCell ref="F568:H568"/>
    <mergeCell ref="F569:H569"/>
    <mergeCell ref="F570:H570"/>
    <mergeCell ref="F571:H571"/>
    <mergeCell ref="F572:H572"/>
    <mergeCell ref="F576:H576"/>
    <mergeCell ref="F577:H577"/>
    <mergeCell ref="F578:H578"/>
    <mergeCell ref="F579:H579"/>
    <mergeCell ref="F580:H580"/>
    <mergeCell ref="F581:H581"/>
    <mergeCell ref="F582:H582"/>
    <mergeCell ref="F583:H583"/>
    <mergeCell ref="F584:H584"/>
    <mergeCell ref="F585:H585"/>
    <mergeCell ref="F586:H586"/>
    <mergeCell ref="F587:H587"/>
    <mergeCell ref="F588:H588"/>
    <mergeCell ref="F589:H589"/>
    <mergeCell ref="F590:H590"/>
    <mergeCell ref="F594:H594"/>
    <mergeCell ref="F595:H595"/>
    <mergeCell ref="F596:H596"/>
    <mergeCell ref="F597:H597"/>
    <mergeCell ref="F598:H598"/>
    <mergeCell ref="F599:H599"/>
    <mergeCell ref="F600:H600"/>
    <mergeCell ref="F601:H601"/>
    <mergeCell ref="F602:H602"/>
    <mergeCell ref="F603:H603"/>
    <mergeCell ref="F607:H607"/>
    <mergeCell ref="F608:H608"/>
    <mergeCell ref="F609:H609"/>
    <mergeCell ref="F610:H610"/>
    <mergeCell ref="F611:H611"/>
    <mergeCell ref="F612:H612"/>
    <mergeCell ref="F613:H613"/>
    <mergeCell ref="F614:H614"/>
    <mergeCell ref="F615:H615"/>
    <mergeCell ref="F616:H616"/>
    <mergeCell ref="F617:H617"/>
    <mergeCell ref="F618:H618"/>
    <mergeCell ref="F619:H619"/>
    <mergeCell ref="F620:H620"/>
    <mergeCell ref="F621:H621"/>
    <mergeCell ref="F622:H622"/>
    <mergeCell ref="F623:H623"/>
    <mergeCell ref="F624:H624"/>
    <mergeCell ref="F625:H625"/>
    <mergeCell ref="F626:H626"/>
    <mergeCell ref="F627:H627"/>
    <mergeCell ref="A629:H629"/>
    <mergeCell ref="A5:A6"/>
    <mergeCell ref="A7:A37"/>
    <mergeCell ref="A39:A40"/>
    <mergeCell ref="A41:A90"/>
    <mergeCell ref="A92:A93"/>
    <mergeCell ref="A94:A111"/>
    <mergeCell ref="A113:A114"/>
    <mergeCell ref="A115:A122"/>
    <mergeCell ref="A124:A125"/>
    <mergeCell ref="A126:A139"/>
    <mergeCell ref="A141:A142"/>
    <mergeCell ref="A143:A167"/>
    <mergeCell ref="A169:A170"/>
    <mergeCell ref="A171:A184"/>
    <mergeCell ref="A186:A187"/>
    <mergeCell ref="A188:A215"/>
    <mergeCell ref="A217:A218"/>
    <mergeCell ref="A219:A240"/>
    <mergeCell ref="A242:A243"/>
    <mergeCell ref="A244:A273"/>
    <mergeCell ref="A275:A276"/>
    <mergeCell ref="A277:A304"/>
    <mergeCell ref="A306:A307"/>
    <mergeCell ref="A308:A331"/>
    <mergeCell ref="A333:A334"/>
    <mergeCell ref="A335:A337"/>
    <mergeCell ref="A339:A340"/>
    <mergeCell ref="A341:A380"/>
    <mergeCell ref="A382:A383"/>
    <mergeCell ref="A384:A403"/>
    <mergeCell ref="A405:A406"/>
    <mergeCell ref="A407:A429"/>
    <mergeCell ref="A431:A432"/>
    <mergeCell ref="A433:A469"/>
    <mergeCell ref="A471:A472"/>
    <mergeCell ref="A473:A508"/>
    <mergeCell ref="A510:A511"/>
    <mergeCell ref="A512:A553"/>
    <mergeCell ref="A555:A556"/>
    <mergeCell ref="A557:A572"/>
    <mergeCell ref="A574:A575"/>
    <mergeCell ref="A576:A590"/>
    <mergeCell ref="A592:A593"/>
    <mergeCell ref="A594:A603"/>
    <mergeCell ref="A605:A606"/>
    <mergeCell ref="A607:A627"/>
    <mergeCell ref="B5:B6"/>
    <mergeCell ref="B7:B37"/>
    <mergeCell ref="B39:B40"/>
    <mergeCell ref="B41:B90"/>
    <mergeCell ref="B92:B93"/>
    <mergeCell ref="B94:B111"/>
    <mergeCell ref="B113:B114"/>
    <mergeCell ref="B115:B122"/>
    <mergeCell ref="B124:B125"/>
    <mergeCell ref="B126:B139"/>
    <mergeCell ref="B141:B142"/>
    <mergeCell ref="B143:B167"/>
    <mergeCell ref="B169:B170"/>
    <mergeCell ref="B171:B184"/>
    <mergeCell ref="B186:B187"/>
    <mergeCell ref="B188:B215"/>
    <mergeCell ref="B217:B218"/>
    <mergeCell ref="B219:B240"/>
    <mergeCell ref="B242:B243"/>
    <mergeCell ref="B244:B273"/>
    <mergeCell ref="B275:B276"/>
    <mergeCell ref="B277:B304"/>
    <mergeCell ref="B306:B307"/>
    <mergeCell ref="B308:B331"/>
    <mergeCell ref="B333:B334"/>
    <mergeCell ref="B335:B337"/>
    <mergeCell ref="B339:B340"/>
    <mergeCell ref="B341:B380"/>
    <mergeCell ref="B382:B383"/>
    <mergeCell ref="B384:B403"/>
    <mergeCell ref="B405:B406"/>
    <mergeCell ref="B407:B429"/>
    <mergeCell ref="B431:B432"/>
    <mergeCell ref="B433:B469"/>
    <mergeCell ref="B471:B472"/>
    <mergeCell ref="B473:B508"/>
    <mergeCell ref="B510:B511"/>
    <mergeCell ref="B512:B553"/>
    <mergeCell ref="B555:B556"/>
    <mergeCell ref="B557:B572"/>
    <mergeCell ref="B574:B575"/>
    <mergeCell ref="B576:B590"/>
    <mergeCell ref="B592:B593"/>
    <mergeCell ref="B594:B603"/>
    <mergeCell ref="B605:B606"/>
    <mergeCell ref="B607:B627"/>
    <mergeCell ref="C5:C6"/>
    <mergeCell ref="C39:C40"/>
    <mergeCell ref="C92:C93"/>
    <mergeCell ref="C113:C114"/>
    <mergeCell ref="C124:C125"/>
    <mergeCell ref="C141:C142"/>
    <mergeCell ref="C169:C170"/>
    <mergeCell ref="C186:C187"/>
    <mergeCell ref="C217:C218"/>
    <mergeCell ref="C242:C243"/>
    <mergeCell ref="C275:C276"/>
    <mergeCell ref="C306:C307"/>
    <mergeCell ref="C333:C334"/>
    <mergeCell ref="C339:C340"/>
    <mergeCell ref="C382:C383"/>
    <mergeCell ref="C405:C406"/>
    <mergeCell ref="C431:C432"/>
    <mergeCell ref="C471:C472"/>
    <mergeCell ref="C510:C511"/>
    <mergeCell ref="C555:C556"/>
    <mergeCell ref="C574:C575"/>
    <mergeCell ref="C592:C593"/>
    <mergeCell ref="C605:C606"/>
    <mergeCell ref="D5:D6"/>
    <mergeCell ref="D39:D40"/>
    <mergeCell ref="D92:D93"/>
    <mergeCell ref="D113:D114"/>
    <mergeCell ref="D124:D125"/>
    <mergeCell ref="D141:D142"/>
    <mergeCell ref="D169:D170"/>
    <mergeCell ref="D186:D187"/>
    <mergeCell ref="D217:D218"/>
    <mergeCell ref="D242:D243"/>
    <mergeCell ref="D275:D276"/>
    <mergeCell ref="D306:D307"/>
    <mergeCell ref="D333:D334"/>
    <mergeCell ref="D339:D340"/>
    <mergeCell ref="D382:D383"/>
    <mergeCell ref="D405:D406"/>
    <mergeCell ref="D431:D432"/>
    <mergeCell ref="D471:D472"/>
    <mergeCell ref="D510:D511"/>
    <mergeCell ref="D555:D556"/>
    <mergeCell ref="D574:D575"/>
    <mergeCell ref="D592:D593"/>
    <mergeCell ref="D605:D606"/>
    <mergeCell ref="E5:E6"/>
    <mergeCell ref="E39:E40"/>
    <mergeCell ref="E92:E93"/>
    <mergeCell ref="E113:E114"/>
    <mergeCell ref="E124:E125"/>
    <mergeCell ref="E141:E142"/>
    <mergeCell ref="E169:E170"/>
    <mergeCell ref="E186:E187"/>
    <mergeCell ref="E217:E218"/>
    <mergeCell ref="E242:E243"/>
    <mergeCell ref="E275:E276"/>
    <mergeCell ref="E306:E307"/>
    <mergeCell ref="E333:E334"/>
    <mergeCell ref="E339:E340"/>
    <mergeCell ref="E382:E383"/>
    <mergeCell ref="E405:E406"/>
    <mergeCell ref="E431:E432"/>
    <mergeCell ref="E471:E472"/>
    <mergeCell ref="E510:E511"/>
    <mergeCell ref="E555:E556"/>
    <mergeCell ref="E574:E575"/>
    <mergeCell ref="E592:E593"/>
    <mergeCell ref="E605:E606"/>
    <mergeCell ref="I5:I6"/>
    <mergeCell ref="I39:I40"/>
    <mergeCell ref="I92:I93"/>
    <mergeCell ref="I113:I114"/>
    <mergeCell ref="I124:I125"/>
    <mergeCell ref="I141:I142"/>
    <mergeCell ref="I169:I170"/>
    <mergeCell ref="I186:I187"/>
    <mergeCell ref="I217:I218"/>
    <mergeCell ref="I242:I243"/>
    <mergeCell ref="I275:I276"/>
    <mergeCell ref="I306:I307"/>
    <mergeCell ref="I333:I334"/>
    <mergeCell ref="I339:I340"/>
    <mergeCell ref="I382:I383"/>
    <mergeCell ref="I405:I406"/>
    <mergeCell ref="I431:I432"/>
    <mergeCell ref="I471:I472"/>
    <mergeCell ref="I510:I511"/>
    <mergeCell ref="I555:I556"/>
    <mergeCell ref="I574:I575"/>
    <mergeCell ref="I592:I593"/>
    <mergeCell ref="I605:I606"/>
    <mergeCell ref="J5:J6"/>
    <mergeCell ref="J39:J40"/>
    <mergeCell ref="J92:J93"/>
    <mergeCell ref="J113:J114"/>
    <mergeCell ref="J124:J125"/>
    <mergeCell ref="J141:J142"/>
    <mergeCell ref="J169:J170"/>
    <mergeCell ref="J186:J187"/>
    <mergeCell ref="J217:J218"/>
    <mergeCell ref="J242:J243"/>
    <mergeCell ref="J275:J276"/>
    <mergeCell ref="J306:J307"/>
    <mergeCell ref="J333:J334"/>
    <mergeCell ref="J339:J340"/>
    <mergeCell ref="J382:J383"/>
    <mergeCell ref="J405:J406"/>
    <mergeCell ref="J431:J432"/>
    <mergeCell ref="J471:J472"/>
    <mergeCell ref="J510:J511"/>
    <mergeCell ref="J555:J556"/>
    <mergeCell ref="J574:J575"/>
    <mergeCell ref="J592:J593"/>
    <mergeCell ref="J605:J606"/>
    <mergeCell ref="F5:H6"/>
    <mergeCell ref="F39:H40"/>
    <mergeCell ref="F92:H93"/>
    <mergeCell ref="F113:H114"/>
    <mergeCell ref="F124:H125"/>
    <mergeCell ref="F141:H142"/>
    <mergeCell ref="F169:H170"/>
    <mergeCell ref="F186:H187"/>
    <mergeCell ref="F217:H218"/>
    <mergeCell ref="F242:H243"/>
    <mergeCell ref="F275:H276"/>
    <mergeCell ref="F306:H307"/>
    <mergeCell ref="F333:H334"/>
    <mergeCell ref="F339:H340"/>
    <mergeCell ref="F382:H383"/>
    <mergeCell ref="F405:H406"/>
    <mergeCell ref="F431:H432"/>
    <mergeCell ref="F471:H472"/>
    <mergeCell ref="F510:H511"/>
    <mergeCell ref="F555:H556"/>
    <mergeCell ref="F574:H575"/>
    <mergeCell ref="F592:H593"/>
    <mergeCell ref="F605:H606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9"/>
  </sheetPr>
  <dimension ref="A1:L96"/>
  <sheetViews>
    <sheetView zoomScale="110" zoomScaleNormal="110" zoomScaleSheetLayoutView="110" workbookViewId="0">
      <selection activeCell="D3" sqref="D3"/>
    </sheetView>
  </sheetViews>
  <sheetFormatPr defaultColWidth="9" defaultRowHeight="13.5"/>
  <cols>
    <col min="1" max="1" width="4.63333333333333" style="89" customWidth="1"/>
    <col min="2" max="2" width="15.6333333333333" customWidth="1"/>
    <col min="3" max="3" width="15.6333333333333" style="89" customWidth="1"/>
    <col min="4" max="4" width="7.63333333333333" style="89" customWidth="1"/>
    <col min="5" max="5" width="12.6333333333333" style="89" customWidth="1"/>
    <col min="6" max="7" width="5.63333333333333" style="89" customWidth="1"/>
    <col min="8" max="9" width="7.63333333333333" style="89" customWidth="1"/>
    <col min="10" max="10" width="4.63333333333333" style="89" customWidth="1"/>
    <col min="11" max="11" width="8.63333333333333" style="89" customWidth="1"/>
    <col min="12" max="12" width="9" style="89" customWidth="1"/>
  </cols>
  <sheetData>
    <row r="1" ht="35.15" customHeight="1" spans="1:12">
      <c r="A1" s="108" t="s">
        <v>571</v>
      </c>
      <c r="B1" s="109"/>
      <c r="C1" s="109"/>
      <c r="D1" s="109"/>
      <c r="E1" s="109"/>
      <c r="F1" s="109"/>
      <c r="G1" s="109"/>
      <c r="H1" s="109"/>
      <c r="I1" s="109"/>
      <c r="J1" s="109"/>
      <c r="K1" s="118"/>
      <c r="L1" s="197"/>
    </row>
    <row r="2" spans="1:12">
      <c r="A2" s="3" t="s">
        <v>1</v>
      </c>
      <c r="B2" s="190" t="s">
        <v>2</v>
      </c>
      <c r="C2" s="190"/>
      <c r="D2" s="191" t="s">
        <v>3</v>
      </c>
      <c r="E2" s="192" t="s">
        <v>4</v>
      </c>
      <c r="F2" s="193"/>
      <c r="G2" s="194"/>
      <c r="H2" s="195" t="s">
        <v>5</v>
      </c>
      <c r="I2" s="190" t="s">
        <v>6</v>
      </c>
      <c r="J2" s="190"/>
      <c r="K2" s="198"/>
      <c r="L2" s="199"/>
    </row>
    <row r="3" spans="1:12">
      <c r="A3" s="63" t="s">
        <v>7</v>
      </c>
      <c r="B3" s="92" t="s">
        <v>8</v>
      </c>
      <c r="C3" s="92"/>
      <c r="D3" s="93" t="s">
        <v>9</v>
      </c>
      <c r="E3" s="94" t="s">
        <v>10</v>
      </c>
      <c r="F3" s="102"/>
      <c r="G3" s="95"/>
      <c r="H3" s="167" t="s">
        <v>11</v>
      </c>
      <c r="I3" s="92" t="s">
        <v>4</v>
      </c>
      <c r="J3" s="92"/>
      <c r="K3" s="120"/>
      <c r="L3" s="199"/>
    </row>
    <row r="4" ht="14.25" spans="1:12">
      <c r="A4" s="110" t="s">
        <v>12</v>
      </c>
      <c r="B4" s="121" t="s">
        <v>13</v>
      </c>
      <c r="C4" s="121"/>
      <c r="D4" s="168" t="s">
        <v>14</v>
      </c>
      <c r="E4" s="111" t="s">
        <v>4</v>
      </c>
      <c r="F4" s="114"/>
      <c r="G4" s="112"/>
      <c r="H4" s="169" t="s">
        <v>15</v>
      </c>
      <c r="I4" s="121" t="s">
        <v>4</v>
      </c>
      <c r="J4" s="121"/>
      <c r="K4" s="122"/>
      <c r="L4" s="199"/>
    </row>
    <row r="5" ht="30" customHeight="1" spans="1:12">
      <c r="A5" s="42" t="s">
        <v>572</v>
      </c>
      <c r="B5" s="43"/>
      <c r="C5" s="43"/>
      <c r="D5" s="43"/>
      <c r="E5" s="43"/>
      <c r="F5" s="43"/>
      <c r="G5" s="43"/>
      <c r="H5" s="43"/>
      <c r="I5" s="43"/>
      <c r="J5" s="43"/>
      <c r="K5" s="48"/>
      <c r="L5" s="199"/>
    </row>
    <row r="6" spans="1:12">
      <c r="A6" s="63" t="s">
        <v>17</v>
      </c>
      <c r="B6" s="64" t="s">
        <v>18</v>
      </c>
      <c r="C6" s="64" t="s">
        <v>19</v>
      </c>
      <c r="D6" s="64" t="s">
        <v>45</v>
      </c>
      <c r="E6" s="196" t="s">
        <v>21</v>
      </c>
      <c r="F6" s="64" t="s">
        <v>573</v>
      </c>
      <c r="G6" s="64"/>
      <c r="H6" s="64"/>
      <c r="I6" s="64" t="s">
        <v>25</v>
      </c>
      <c r="J6" s="64" t="s">
        <v>24</v>
      </c>
      <c r="K6" s="50" t="s">
        <v>574</v>
      </c>
      <c r="L6" s="200"/>
    </row>
    <row r="7" ht="14.25" spans="1:12">
      <c r="A7" s="34"/>
      <c r="B7" s="35"/>
      <c r="C7" s="35"/>
      <c r="D7" s="35"/>
      <c r="E7" s="47"/>
      <c r="F7" s="35" t="s">
        <v>27</v>
      </c>
      <c r="G7" s="35" t="s">
        <v>28</v>
      </c>
      <c r="H7" s="35" t="s">
        <v>29</v>
      </c>
      <c r="I7" s="35"/>
      <c r="J7" s="35"/>
      <c r="K7" s="38"/>
      <c r="L7" s="200"/>
    </row>
    <row r="8" spans="1:11">
      <c r="A8" s="171">
        <v>1</v>
      </c>
      <c r="B8" s="172" t="s">
        <v>551</v>
      </c>
      <c r="C8" s="173" t="s">
        <v>119</v>
      </c>
      <c r="D8" s="173" t="s">
        <v>32</v>
      </c>
      <c r="E8" s="173" t="s">
        <v>111</v>
      </c>
      <c r="F8" s="173">
        <v>737</v>
      </c>
      <c r="G8" s="173">
        <v>244</v>
      </c>
      <c r="H8" s="173">
        <v>18</v>
      </c>
      <c r="I8" s="201">
        <v>0.1798</v>
      </c>
      <c r="J8" s="173">
        <v>1</v>
      </c>
      <c r="K8" s="202" t="s">
        <v>4</v>
      </c>
    </row>
    <row r="9" spans="1:11">
      <c r="A9" s="176">
        <v>2</v>
      </c>
      <c r="B9" s="177" t="s">
        <v>551</v>
      </c>
      <c r="C9" s="178" t="s">
        <v>31</v>
      </c>
      <c r="D9" s="178" t="s">
        <v>32</v>
      </c>
      <c r="E9" s="178" t="s">
        <v>111</v>
      </c>
      <c r="F9" s="178">
        <v>297</v>
      </c>
      <c r="G9" s="178">
        <v>367</v>
      </c>
      <c r="H9" s="178">
        <v>18</v>
      </c>
      <c r="I9" s="203">
        <v>0.109</v>
      </c>
      <c r="J9" s="178">
        <v>1</v>
      </c>
      <c r="K9" s="204" t="s">
        <v>575</v>
      </c>
    </row>
    <row r="10" spans="1:11">
      <c r="A10" s="176">
        <v>3</v>
      </c>
      <c r="B10" s="177" t="s">
        <v>551</v>
      </c>
      <c r="C10" s="178" t="s">
        <v>35</v>
      </c>
      <c r="D10" s="178" t="s">
        <v>32</v>
      </c>
      <c r="E10" s="178" t="s">
        <v>111</v>
      </c>
      <c r="F10" s="178">
        <v>297</v>
      </c>
      <c r="G10" s="178">
        <v>367</v>
      </c>
      <c r="H10" s="178">
        <v>18</v>
      </c>
      <c r="I10" s="203">
        <v>0.109</v>
      </c>
      <c r="J10" s="178">
        <v>1</v>
      </c>
      <c r="K10" s="204" t="s">
        <v>576</v>
      </c>
    </row>
    <row r="11" spans="1:11">
      <c r="A11" s="176">
        <v>4</v>
      </c>
      <c r="B11" s="177" t="s">
        <v>30</v>
      </c>
      <c r="C11" s="178" t="s">
        <v>31</v>
      </c>
      <c r="D11" s="178" t="s">
        <v>32</v>
      </c>
      <c r="E11" s="178" t="s">
        <v>33</v>
      </c>
      <c r="F11" s="178">
        <v>857</v>
      </c>
      <c r="G11" s="178">
        <v>397</v>
      </c>
      <c r="H11" s="178">
        <v>18</v>
      </c>
      <c r="I11" s="203">
        <v>0.3402</v>
      </c>
      <c r="J11" s="178">
        <v>1</v>
      </c>
      <c r="K11" s="204" t="s">
        <v>577</v>
      </c>
    </row>
    <row r="12" spans="1:11">
      <c r="A12" s="176">
        <v>5</v>
      </c>
      <c r="B12" s="177" t="s">
        <v>30</v>
      </c>
      <c r="C12" s="178" t="s">
        <v>35</v>
      </c>
      <c r="D12" s="178" t="s">
        <v>32</v>
      </c>
      <c r="E12" s="178" t="s">
        <v>33</v>
      </c>
      <c r="F12" s="178">
        <v>857</v>
      </c>
      <c r="G12" s="178">
        <v>397</v>
      </c>
      <c r="H12" s="178">
        <v>18</v>
      </c>
      <c r="I12" s="203">
        <v>0.3402</v>
      </c>
      <c r="J12" s="178">
        <v>1</v>
      </c>
      <c r="K12" s="204" t="s">
        <v>578</v>
      </c>
    </row>
    <row r="13" spans="1:11">
      <c r="A13" s="176">
        <v>6</v>
      </c>
      <c r="B13" s="177" t="s">
        <v>30</v>
      </c>
      <c r="C13" s="178" t="s">
        <v>31</v>
      </c>
      <c r="D13" s="178" t="s">
        <v>32</v>
      </c>
      <c r="E13" s="178" t="s">
        <v>111</v>
      </c>
      <c r="F13" s="178">
        <v>857</v>
      </c>
      <c r="G13" s="178">
        <v>397</v>
      </c>
      <c r="H13" s="178">
        <v>18</v>
      </c>
      <c r="I13" s="203">
        <v>0.3402</v>
      </c>
      <c r="J13" s="178">
        <v>1</v>
      </c>
      <c r="K13" s="204" t="s">
        <v>577</v>
      </c>
    </row>
    <row r="14" spans="1:11">
      <c r="A14" s="176">
        <v>7</v>
      </c>
      <c r="B14" s="177" t="s">
        <v>30</v>
      </c>
      <c r="C14" s="178" t="s">
        <v>35</v>
      </c>
      <c r="D14" s="178" t="s">
        <v>32</v>
      </c>
      <c r="E14" s="178" t="s">
        <v>111</v>
      </c>
      <c r="F14" s="178">
        <v>857</v>
      </c>
      <c r="G14" s="178">
        <v>397</v>
      </c>
      <c r="H14" s="178">
        <v>18</v>
      </c>
      <c r="I14" s="203">
        <v>0.3402</v>
      </c>
      <c r="J14" s="178">
        <v>1</v>
      </c>
      <c r="K14" s="204" t="s">
        <v>578</v>
      </c>
    </row>
    <row r="15" spans="1:11">
      <c r="A15" s="176">
        <v>8</v>
      </c>
      <c r="B15" s="177" t="s">
        <v>30</v>
      </c>
      <c r="C15" s="178" t="s">
        <v>35</v>
      </c>
      <c r="D15" s="178" t="s">
        <v>32</v>
      </c>
      <c r="E15" s="178" t="s">
        <v>111</v>
      </c>
      <c r="F15" s="178">
        <v>857</v>
      </c>
      <c r="G15" s="178">
        <v>397</v>
      </c>
      <c r="H15" s="178">
        <v>18</v>
      </c>
      <c r="I15" s="203">
        <v>0.3402</v>
      </c>
      <c r="J15" s="178">
        <v>1</v>
      </c>
      <c r="K15" s="204" t="s">
        <v>578</v>
      </c>
    </row>
    <row r="16" spans="1:11">
      <c r="A16" s="176">
        <v>9</v>
      </c>
      <c r="B16" s="177" t="s">
        <v>30</v>
      </c>
      <c r="C16" s="178" t="s">
        <v>31</v>
      </c>
      <c r="D16" s="178" t="s">
        <v>32</v>
      </c>
      <c r="E16" s="178" t="s">
        <v>111</v>
      </c>
      <c r="F16" s="178">
        <v>844</v>
      </c>
      <c r="G16" s="178">
        <v>397</v>
      </c>
      <c r="H16" s="178">
        <v>18</v>
      </c>
      <c r="I16" s="203">
        <v>0.3351</v>
      </c>
      <c r="J16" s="178">
        <v>1</v>
      </c>
      <c r="K16" s="204" t="s">
        <v>579</v>
      </c>
    </row>
    <row r="17" spans="1:11">
      <c r="A17" s="176">
        <v>10</v>
      </c>
      <c r="B17" s="177" t="s">
        <v>30</v>
      </c>
      <c r="C17" s="178" t="s">
        <v>35</v>
      </c>
      <c r="D17" s="178" t="s">
        <v>32</v>
      </c>
      <c r="E17" s="178" t="s">
        <v>111</v>
      </c>
      <c r="F17" s="178">
        <v>844</v>
      </c>
      <c r="G17" s="178">
        <v>397</v>
      </c>
      <c r="H17" s="178">
        <v>18</v>
      </c>
      <c r="I17" s="203">
        <v>0.3351</v>
      </c>
      <c r="J17" s="178">
        <v>1</v>
      </c>
      <c r="K17" s="204" t="s">
        <v>580</v>
      </c>
    </row>
    <row r="18" spans="1:11">
      <c r="A18" s="176">
        <v>11</v>
      </c>
      <c r="B18" s="177" t="s">
        <v>30</v>
      </c>
      <c r="C18" s="178" t="s">
        <v>31</v>
      </c>
      <c r="D18" s="178" t="s">
        <v>32</v>
      </c>
      <c r="E18" s="178" t="s">
        <v>111</v>
      </c>
      <c r="F18" s="178">
        <v>844</v>
      </c>
      <c r="G18" s="178">
        <v>397</v>
      </c>
      <c r="H18" s="178">
        <v>18</v>
      </c>
      <c r="I18" s="203">
        <v>0.3351</v>
      </c>
      <c r="J18" s="178">
        <v>1</v>
      </c>
      <c r="K18" s="204" t="s">
        <v>579</v>
      </c>
    </row>
    <row r="19" spans="1:11">
      <c r="A19" s="176">
        <v>12</v>
      </c>
      <c r="B19" s="177" t="s">
        <v>30</v>
      </c>
      <c r="C19" s="178" t="s">
        <v>35</v>
      </c>
      <c r="D19" s="178" t="s">
        <v>32</v>
      </c>
      <c r="E19" s="178" t="s">
        <v>111</v>
      </c>
      <c r="F19" s="178">
        <v>844</v>
      </c>
      <c r="G19" s="178">
        <v>397</v>
      </c>
      <c r="H19" s="178">
        <v>18</v>
      </c>
      <c r="I19" s="203">
        <v>0.3351</v>
      </c>
      <c r="J19" s="178">
        <v>1</v>
      </c>
      <c r="K19" s="204" t="s">
        <v>580</v>
      </c>
    </row>
    <row r="20" spans="1:11">
      <c r="A20" s="176">
        <v>13</v>
      </c>
      <c r="B20" s="177" t="s">
        <v>30</v>
      </c>
      <c r="C20" s="178" t="s">
        <v>35</v>
      </c>
      <c r="D20" s="178" t="s">
        <v>32</v>
      </c>
      <c r="E20" s="178" t="s">
        <v>111</v>
      </c>
      <c r="F20" s="178">
        <v>844</v>
      </c>
      <c r="G20" s="178">
        <v>397</v>
      </c>
      <c r="H20" s="178">
        <v>18</v>
      </c>
      <c r="I20" s="203">
        <v>0.3351</v>
      </c>
      <c r="J20" s="178">
        <v>1</v>
      </c>
      <c r="K20" s="204" t="s">
        <v>580</v>
      </c>
    </row>
    <row r="21" spans="1:11">
      <c r="A21" s="176">
        <v>14</v>
      </c>
      <c r="B21" s="177" t="s">
        <v>36</v>
      </c>
      <c r="C21" s="178" t="s">
        <v>35</v>
      </c>
      <c r="D21" s="178" t="s">
        <v>32</v>
      </c>
      <c r="E21" s="178" t="s">
        <v>33</v>
      </c>
      <c r="F21" s="178">
        <v>2387</v>
      </c>
      <c r="G21" s="178">
        <v>465</v>
      </c>
      <c r="H21" s="178">
        <v>18</v>
      </c>
      <c r="I21" s="203">
        <v>1.11</v>
      </c>
      <c r="J21" s="178">
        <v>1</v>
      </c>
      <c r="K21" s="204" t="s">
        <v>581</v>
      </c>
    </row>
    <row r="22" spans="1:11">
      <c r="A22" s="176">
        <v>15</v>
      </c>
      <c r="B22" s="177" t="s">
        <v>553</v>
      </c>
      <c r="C22" s="178" t="s">
        <v>31</v>
      </c>
      <c r="D22" s="178" t="s">
        <v>32</v>
      </c>
      <c r="E22" s="178" t="s">
        <v>111</v>
      </c>
      <c r="F22" s="178">
        <v>442</v>
      </c>
      <c r="G22" s="178">
        <v>457</v>
      </c>
      <c r="H22" s="178">
        <v>18</v>
      </c>
      <c r="I22" s="203">
        <v>0.202</v>
      </c>
      <c r="J22" s="178">
        <v>1</v>
      </c>
      <c r="K22" s="204" t="s">
        <v>582</v>
      </c>
    </row>
    <row r="23" spans="1:11">
      <c r="A23" s="176">
        <v>16</v>
      </c>
      <c r="B23" s="177" t="s">
        <v>553</v>
      </c>
      <c r="C23" s="178" t="s">
        <v>35</v>
      </c>
      <c r="D23" s="178" t="s">
        <v>32</v>
      </c>
      <c r="E23" s="178" t="s">
        <v>111</v>
      </c>
      <c r="F23" s="178">
        <v>442</v>
      </c>
      <c r="G23" s="178">
        <v>457</v>
      </c>
      <c r="H23" s="178">
        <v>18</v>
      </c>
      <c r="I23" s="203">
        <v>0.202</v>
      </c>
      <c r="J23" s="178">
        <v>1</v>
      </c>
      <c r="K23" s="204" t="s">
        <v>583</v>
      </c>
    </row>
    <row r="24" spans="1:11">
      <c r="A24" s="176">
        <v>17</v>
      </c>
      <c r="B24" s="177" t="s">
        <v>554</v>
      </c>
      <c r="C24" s="178" t="s">
        <v>31</v>
      </c>
      <c r="D24" s="178" t="s">
        <v>32</v>
      </c>
      <c r="E24" s="178" t="s">
        <v>111</v>
      </c>
      <c r="F24" s="178">
        <v>1042</v>
      </c>
      <c r="G24" s="178">
        <v>345.5</v>
      </c>
      <c r="H24" s="178">
        <v>18</v>
      </c>
      <c r="I24" s="203">
        <v>0.36</v>
      </c>
      <c r="J24" s="178">
        <v>1</v>
      </c>
      <c r="K24" s="204" t="s">
        <v>584</v>
      </c>
    </row>
    <row r="25" spans="1:11">
      <c r="A25" s="176">
        <v>18</v>
      </c>
      <c r="B25" s="177" t="s">
        <v>554</v>
      </c>
      <c r="C25" s="178" t="s">
        <v>35</v>
      </c>
      <c r="D25" s="178" t="s">
        <v>32</v>
      </c>
      <c r="E25" s="178" t="s">
        <v>111</v>
      </c>
      <c r="F25" s="178">
        <v>1042</v>
      </c>
      <c r="G25" s="178">
        <v>345.5</v>
      </c>
      <c r="H25" s="178">
        <v>18</v>
      </c>
      <c r="I25" s="203">
        <v>0.36</v>
      </c>
      <c r="J25" s="178">
        <v>1</v>
      </c>
      <c r="K25" s="204" t="s">
        <v>585</v>
      </c>
    </row>
    <row r="26" spans="1:11">
      <c r="A26" s="176">
        <v>19</v>
      </c>
      <c r="B26" s="177" t="s">
        <v>554</v>
      </c>
      <c r="C26" s="178" t="s">
        <v>31</v>
      </c>
      <c r="D26" s="178" t="s">
        <v>32</v>
      </c>
      <c r="E26" s="178" t="s">
        <v>111</v>
      </c>
      <c r="F26" s="178">
        <v>687</v>
      </c>
      <c r="G26" s="178">
        <v>345.5</v>
      </c>
      <c r="H26" s="178">
        <v>18</v>
      </c>
      <c r="I26" s="203">
        <v>0.2374</v>
      </c>
      <c r="J26" s="178">
        <v>1</v>
      </c>
      <c r="K26" s="204" t="s">
        <v>586</v>
      </c>
    </row>
    <row r="27" spans="1:11">
      <c r="A27" s="176">
        <v>20</v>
      </c>
      <c r="B27" s="177" t="s">
        <v>554</v>
      </c>
      <c r="C27" s="178" t="s">
        <v>35</v>
      </c>
      <c r="D27" s="178" t="s">
        <v>32</v>
      </c>
      <c r="E27" s="178" t="s">
        <v>111</v>
      </c>
      <c r="F27" s="178">
        <v>687</v>
      </c>
      <c r="G27" s="178">
        <v>345.5</v>
      </c>
      <c r="H27" s="178">
        <v>18</v>
      </c>
      <c r="I27" s="203">
        <v>0.2374</v>
      </c>
      <c r="J27" s="178">
        <v>1</v>
      </c>
      <c r="K27" s="204" t="s">
        <v>587</v>
      </c>
    </row>
    <row r="28" spans="1:11">
      <c r="A28" s="176">
        <v>21</v>
      </c>
      <c r="B28" s="177" t="s">
        <v>555</v>
      </c>
      <c r="C28" s="178" t="s">
        <v>265</v>
      </c>
      <c r="D28" s="178" t="s">
        <v>32</v>
      </c>
      <c r="E28" s="178" t="s">
        <v>111</v>
      </c>
      <c r="F28" s="178">
        <v>745</v>
      </c>
      <c r="G28" s="178">
        <v>334</v>
      </c>
      <c r="H28" s="178">
        <v>18</v>
      </c>
      <c r="I28" s="203">
        <v>0.2488</v>
      </c>
      <c r="J28" s="178">
        <v>1</v>
      </c>
      <c r="K28" s="204" t="s">
        <v>588</v>
      </c>
    </row>
    <row r="29" spans="1:11">
      <c r="A29" s="176">
        <v>22</v>
      </c>
      <c r="B29" s="177" t="s">
        <v>556</v>
      </c>
      <c r="C29" s="178" t="s">
        <v>31</v>
      </c>
      <c r="D29" s="178" t="s">
        <v>32</v>
      </c>
      <c r="E29" s="178" t="s">
        <v>111</v>
      </c>
      <c r="F29" s="178">
        <v>597</v>
      </c>
      <c r="G29" s="178">
        <v>399</v>
      </c>
      <c r="H29" s="178">
        <v>18</v>
      </c>
      <c r="I29" s="203">
        <v>0.2382</v>
      </c>
      <c r="J29" s="178">
        <v>1</v>
      </c>
      <c r="K29" s="204" t="s">
        <v>589</v>
      </c>
    </row>
    <row r="30" spans="1:11">
      <c r="A30" s="176">
        <v>23</v>
      </c>
      <c r="B30" s="177" t="s">
        <v>556</v>
      </c>
      <c r="C30" s="178" t="s">
        <v>35</v>
      </c>
      <c r="D30" s="178" t="s">
        <v>32</v>
      </c>
      <c r="E30" s="178" t="s">
        <v>111</v>
      </c>
      <c r="F30" s="178">
        <v>597</v>
      </c>
      <c r="G30" s="178">
        <v>399</v>
      </c>
      <c r="H30" s="178">
        <v>18</v>
      </c>
      <c r="I30" s="203">
        <v>0.2382</v>
      </c>
      <c r="J30" s="178">
        <v>1</v>
      </c>
      <c r="K30" s="204" t="s">
        <v>590</v>
      </c>
    </row>
    <row r="31" spans="1:11">
      <c r="A31" s="176">
        <v>24</v>
      </c>
      <c r="B31" s="177" t="s">
        <v>556</v>
      </c>
      <c r="C31" s="178" t="s">
        <v>31</v>
      </c>
      <c r="D31" s="178" t="s">
        <v>32</v>
      </c>
      <c r="E31" s="178" t="s">
        <v>111</v>
      </c>
      <c r="F31" s="178">
        <v>1662</v>
      </c>
      <c r="G31" s="178">
        <v>399</v>
      </c>
      <c r="H31" s="178">
        <v>18</v>
      </c>
      <c r="I31" s="203">
        <v>0.6631</v>
      </c>
      <c r="J31" s="178">
        <v>1</v>
      </c>
      <c r="K31" s="204" t="s">
        <v>591</v>
      </c>
    </row>
    <row r="32" spans="1:11">
      <c r="A32" s="176">
        <v>25</v>
      </c>
      <c r="B32" s="177" t="s">
        <v>556</v>
      </c>
      <c r="C32" s="178" t="s">
        <v>35</v>
      </c>
      <c r="D32" s="178" t="s">
        <v>32</v>
      </c>
      <c r="E32" s="178" t="s">
        <v>111</v>
      </c>
      <c r="F32" s="178">
        <v>1662</v>
      </c>
      <c r="G32" s="178">
        <v>399</v>
      </c>
      <c r="H32" s="178">
        <v>18</v>
      </c>
      <c r="I32" s="203">
        <v>0.6631</v>
      </c>
      <c r="J32" s="178">
        <v>1</v>
      </c>
      <c r="K32" s="204" t="s">
        <v>592</v>
      </c>
    </row>
    <row r="33" spans="1:11">
      <c r="A33" s="176">
        <v>26</v>
      </c>
      <c r="B33" s="177" t="s">
        <v>557</v>
      </c>
      <c r="C33" s="178" t="s">
        <v>119</v>
      </c>
      <c r="D33" s="178" t="s">
        <v>32</v>
      </c>
      <c r="E33" s="178" t="s">
        <v>111</v>
      </c>
      <c r="F33" s="178">
        <v>464</v>
      </c>
      <c r="G33" s="178">
        <v>177</v>
      </c>
      <c r="H33" s="178">
        <v>18</v>
      </c>
      <c r="I33" s="203">
        <v>0.0821</v>
      </c>
      <c r="J33" s="178">
        <v>1</v>
      </c>
      <c r="K33" s="204" t="s">
        <v>4</v>
      </c>
    </row>
    <row r="34" spans="1:11">
      <c r="A34" s="176">
        <v>27</v>
      </c>
      <c r="B34" s="177" t="s">
        <v>557</v>
      </c>
      <c r="C34" s="178" t="s">
        <v>119</v>
      </c>
      <c r="D34" s="178" t="s">
        <v>32</v>
      </c>
      <c r="E34" s="178" t="s">
        <v>111</v>
      </c>
      <c r="F34" s="178">
        <v>465</v>
      </c>
      <c r="G34" s="178">
        <v>177</v>
      </c>
      <c r="H34" s="178">
        <v>18</v>
      </c>
      <c r="I34" s="203">
        <v>0.0823</v>
      </c>
      <c r="J34" s="178">
        <v>1</v>
      </c>
      <c r="K34" s="204" t="s">
        <v>4</v>
      </c>
    </row>
    <row r="35" spans="1:11">
      <c r="A35" s="176">
        <v>28</v>
      </c>
      <c r="B35" s="177" t="s">
        <v>38</v>
      </c>
      <c r="C35" s="178" t="s">
        <v>119</v>
      </c>
      <c r="D35" s="178" t="s">
        <v>32</v>
      </c>
      <c r="E35" s="178" t="s">
        <v>111</v>
      </c>
      <c r="F35" s="178">
        <v>421</v>
      </c>
      <c r="G35" s="178">
        <v>379</v>
      </c>
      <c r="H35" s="178">
        <v>18</v>
      </c>
      <c r="I35" s="203">
        <v>0.1596</v>
      </c>
      <c r="J35" s="178">
        <v>1</v>
      </c>
      <c r="K35" s="204" t="s">
        <v>4</v>
      </c>
    </row>
    <row r="36" spans="1:11">
      <c r="A36" s="176">
        <v>29</v>
      </c>
      <c r="B36" s="177" t="s">
        <v>38</v>
      </c>
      <c r="C36" s="178" t="s">
        <v>119</v>
      </c>
      <c r="D36" s="178" t="s">
        <v>32</v>
      </c>
      <c r="E36" s="178" t="s">
        <v>111</v>
      </c>
      <c r="F36" s="178">
        <v>421</v>
      </c>
      <c r="G36" s="178">
        <v>177</v>
      </c>
      <c r="H36" s="178">
        <v>18</v>
      </c>
      <c r="I36" s="203">
        <v>0.0745</v>
      </c>
      <c r="J36" s="178">
        <v>1</v>
      </c>
      <c r="K36" s="204" t="s">
        <v>4</v>
      </c>
    </row>
    <row r="37" spans="1:11">
      <c r="A37" s="176">
        <v>30</v>
      </c>
      <c r="B37" s="177" t="s">
        <v>38</v>
      </c>
      <c r="C37" s="178" t="s">
        <v>119</v>
      </c>
      <c r="D37" s="178" t="s">
        <v>32</v>
      </c>
      <c r="E37" s="178" t="s">
        <v>111</v>
      </c>
      <c r="F37" s="178">
        <v>421</v>
      </c>
      <c r="G37" s="178">
        <v>177</v>
      </c>
      <c r="H37" s="178">
        <v>18</v>
      </c>
      <c r="I37" s="203">
        <v>0.0745</v>
      </c>
      <c r="J37" s="178">
        <v>1</v>
      </c>
      <c r="K37" s="204" t="s">
        <v>4</v>
      </c>
    </row>
    <row r="38" spans="1:11">
      <c r="A38" s="176">
        <v>31</v>
      </c>
      <c r="B38" s="177" t="s">
        <v>38</v>
      </c>
      <c r="C38" s="178" t="s">
        <v>31</v>
      </c>
      <c r="D38" s="178" t="s">
        <v>32</v>
      </c>
      <c r="E38" s="178" t="s">
        <v>33</v>
      </c>
      <c r="F38" s="178">
        <v>1387</v>
      </c>
      <c r="G38" s="178">
        <v>421</v>
      </c>
      <c r="H38" s="178">
        <v>18</v>
      </c>
      <c r="I38" s="203">
        <v>0.5839</v>
      </c>
      <c r="J38" s="178">
        <v>1</v>
      </c>
      <c r="K38" s="204" t="s">
        <v>593</v>
      </c>
    </row>
    <row r="39" spans="1:11">
      <c r="A39" s="176">
        <v>32</v>
      </c>
      <c r="B39" s="177" t="s">
        <v>558</v>
      </c>
      <c r="C39" s="178" t="s">
        <v>31</v>
      </c>
      <c r="D39" s="178" t="s">
        <v>32</v>
      </c>
      <c r="E39" s="178" t="s">
        <v>111</v>
      </c>
      <c r="F39" s="178">
        <v>1665</v>
      </c>
      <c r="G39" s="178">
        <v>421</v>
      </c>
      <c r="H39" s="178">
        <v>18</v>
      </c>
      <c r="I39" s="203">
        <v>0.701</v>
      </c>
      <c r="J39" s="178">
        <v>1</v>
      </c>
      <c r="K39" s="204" t="s">
        <v>594</v>
      </c>
    </row>
    <row r="40" spans="1:11">
      <c r="A40" s="176">
        <v>33</v>
      </c>
      <c r="B40" s="177" t="s">
        <v>558</v>
      </c>
      <c r="C40" s="178" t="s">
        <v>35</v>
      </c>
      <c r="D40" s="178" t="s">
        <v>32</v>
      </c>
      <c r="E40" s="178" t="s">
        <v>111</v>
      </c>
      <c r="F40" s="178">
        <v>1665</v>
      </c>
      <c r="G40" s="178">
        <v>421</v>
      </c>
      <c r="H40" s="178">
        <v>18</v>
      </c>
      <c r="I40" s="203">
        <v>0.701</v>
      </c>
      <c r="J40" s="178">
        <v>1</v>
      </c>
      <c r="K40" s="204" t="s">
        <v>595</v>
      </c>
    </row>
    <row r="41" spans="1:11">
      <c r="A41" s="176">
        <v>34</v>
      </c>
      <c r="B41" s="177" t="s">
        <v>558</v>
      </c>
      <c r="C41" s="178" t="s">
        <v>31</v>
      </c>
      <c r="D41" s="178" t="s">
        <v>32</v>
      </c>
      <c r="E41" s="178" t="s">
        <v>111</v>
      </c>
      <c r="F41" s="178">
        <v>739</v>
      </c>
      <c r="G41" s="178">
        <v>421</v>
      </c>
      <c r="H41" s="178">
        <v>18</v>
      </c>
      <c r="I41" s="203">
        <v>0.3111</v>
      </c>
      <c r="J41" s="178">
        <v>1</v>
      </c>
      <c r="K41" s="204" t="s">
        <v>596</v>
      </c>
    </row>
    <row r="42" spans="1:11">
      <c r="A42" s="176">
        <v>35</v>
      </c>
      <c r="B42" s="177" t="s">
        <v>558</v>
      </c>
      <c r="C42" s="178" t="s">
        <v>35</v>
      </c>
      <c r="D42" s="178" t="s">
        <v>32</v>
      </c>
      <c r="E42" s="178" t="s">
        <v>111</v>
      </c>
      <c r="F42" s="178">
        <v>739</v>
      </c>
      <c r="G42" s="178">
        <v>421</v>
      </c>
      <c r="H42" s="178">
        <v>18</v>
      </c>
      <c r="I42" s="203">
        <v>0.3111</v>
      </c>
      <c r="J42" s="178">
        <v>1</v>
      </c>
      <c r="K42" s="204" t="s">
        <v>597</v>
      </c>
    </row>
    <row r="43" spans="1:11">
      <c r="A43" s="176">
        <v>36</v>
      </c>
      <c r="B43" s="177" t="s">
        <v>558</v>
      </c>
      <c r="C43" s="178" t="s">
        <v>31</v>
      </c>
      <c r="D43" s="178" t="s">
        <v>32</v>
      </c>
      <c r="E43" s="178" t="s">
        <v>111</v>
      </c>
      <c r="F43" s="178">
        <v>739</v>
      </c>
      <c r="G43" s="178">
        <v>421</v>
      </c>
      <c r="H43" s="178">
        <v>18</v>
      </c>
      <c r="I43" s="203">
        <v>0.3111</v>
      </c>
      <c r="J43" s="178">
        <v>1</v>
      </c>
      <c r="K43" s="204" t="s">
        <v>596</v>
      </c>
    </row>
    <row r="44" spans="1:11">
      <c r="A44" s="176">
        <v>37</v>
      </c>
      <c r="B44" s="177" t="s">
        <v>558</v>
      </c>
      <c r="C44" s="178" t="s">
        <v>31</v>
      </c>
      <c r="D44" s="178" t="s">
        <v>32</v>
      </c>
      <c r="E44" s="178" t="s">
        <v>111</v>
      </c>
      <c r="F44" s="178">
        <v>1665</v>
      </c>
      <c r="G44" s="178">
        <v>421</v>
      </c>
      <c r="H44" s="178">
        <v>18</v>
      </c>
      <c r="I44" s="203">
        <v>0.701</v>
      </c>
      <c r="J44" s="178">
        <v>1</v>
      </c>
      <c r="K44" s="204" t="s">
        <v>594</v>
      </c>
    </row>
    <row r="45" spans="1:11">
      <c r="A45" s="176">
        <v>38</v>
      </c>
      <c r="B45" s="177" t="s">
        <v>559</v>
      </c>
      <c r="C45" s="178" t="s">
        <v>35</v>
      </c>
      <c r="D45" s="178" t="s">
        <v>32</v>
      </c>
      <c r="E45" s="178" t="s">
        <v>111</v>
      </c>
      <c r="F45" s="178">
        <v>1665</v>
      </c>
      <c r="G45" s="178">
        <v>421</v>
      </c>
      <c r="H45" s="178">
        <v>18</v>
      </c>
      <c r="I45" s="203">
        <v>0.701</v>
      </c>
      <c r="J45" s="178">
        <v>1</v>
      </c>
      <c r="K45" s="204" t="s">
        <v>595</v>
      </c>
    </row>
    <row r="46" spans="1:11">
      <c r="A46" s="176">
        <v>39</v>
      </c>
      <c r="B46" s="177" t="s">
        <v>559</v>
      </c>
      <c r="C46" s="178" t="s">
        <v>35</v>
      </c>
      <c r="D46" s="178" t="s">
        <v>32</v>
      </c>
      <c r="E46" s="178" t="s">
        <v>111</v>
      </c>
      <c r="F46" s="178">
        <v>739</v>
      </c>
      <c r="G46" s="178">
        <v>421</v>
      </c>
      <c r="H46" s="178">
        <v>18</v>
      </c>
      <c r="I46" s="203">
        <v>0.3111</v>
      </c>
      <c r="J46" s="178">
        <v>1</v>
      </c>
      <c r="K46" s="204" t="s">
        <v>597</v>
      </c>
    </row>
    <row r="47" spans="1:11">
      <c r="A47" s="176">
        <v>40</v>
      </c>
      <c r="B47" s="177" t="s">
        <v>40</v>
      </c>
      <c r="C47" s="178" t="s">
        <v>375</v>
      </c>
      <c r="D47" s="178" t="s">
        <v>32</v>
      </c>
      <c r="E47" s="178" t="s">
        <v>115</v>
      </c>
      <c r="F47" s="178">
        <v>895</v>
      </c>
      <c r="G47" s="178">
        <v>198.7</v>
      </c>
      <c r="H47" s="178">
        <v>18</v>
      </c>
      <c r="I47" s="203">
        <v>0.1778</v>
      </c>
      <c r="J47" s="178">
        <v>1</v>
      </c>
      <c r="K47" s="204" t="s">
        <v>4</v>
      </c>
    </row>
    <row r="48" spans="1:11">
      <c r="A48" s="176">
        <v>41</v>
      </c>
      <c r="B48" s="177" t="s">
        <v>40</v>
      </c>
      <c r="C48" s="178" t="s">
        <v>375</v>
      </c>
      <c r="D48" s="178" t="s">
        <v>32</v>
      </c>
      <c r="E48" s="178" t="s">
        <v>115</v>
      </c>
      <c r="F48" s="178">
        <v>895</v>
      </c>
      <c r="G48" s="178">
        <v>198.7</v>
      </c>
      <c r="H48" s="178">
        <v>18</v>
      </c>
      <c r="I48" s="203">
        <v>0.1778</v>
      </c>
      <c r="J48" s="178">
        <v>1</v>
      </c>
      <c r="K48" s="204" t="s">
        <v>4</v>
      </c>
    </row>
    <row r="49" spans="1:11">
      <c r="A49" s="176">
        <v>42</v>
      </c>
      <c r="B49" s="177" t="s">
        <v>40</v>
      </c>
      <c r="C49" s="178" t="s">
        <v>31</v>
      </c>
      <c r="D49" s="178" t="s">
        <v>32</v>
      </c>
      <c r="E49" s="178" t="s">
        <v>33</v>
      </c>
      <c r="F49" s="178">
        <v>2407</v>
      </c>
      <c r="G49" s="178">
        <v>497</v>
      </c>
      <c r="H49" s="178">
        <v>18</v>
      </c>
      <c r="I49" s="203">
        <v>1.1963</v>
      </c>
      <c r="J49" s="178">
        <v>1</v>
      </c>
      <c r="K49" s="204" t="s">
        <v>598</v>
      </c>
    </row>
    <row r="50" spans="1:11">
      <c r="A50" s="176">
        <v>43</v>
      </c>
      <c r="B50" s="177" t="s">
        <v>40</v>
      </c>
      <c r="C50" s="178" t="s">
        <v>35</v>
      </c>
      <c r="D50" s="178" t="s">
        <v>32</v>
      </c>
      <c r="E50" s="178" t="s">
        <v>33</v>
      </c>
      <c r="F50" s="178">
        <v>2407</v>
      </c>
      <c r="G50" s="178">
        <v>497</v>
      </c>
      <c r="H50" s="178">
        <v>18</v>
      </c>
      <c r="I50" s="203">
        <v>1.1963</v>
      </c>
      <c r="J50" s="178">
        <v>1</v>
      </c>
      <c r="K50" s="204" t="s">
        <v>599</v>
      </c>
    </row>
    <row r="51" spans="1:11">
      <c r="A51" s="176">
        <v>44</v>
      </c>
      <c r="B51" s="177" t="s">
        <v>40</v>
      </c>
      <c r="C51" s="178" t="s">
        <v>31</v>
      </c>
      <c r="D51" s="178" t="s">
        <v>32</v>
      </c>
      <c r="E51" s="178" t="s">
        <v>111</v>
      </c>
      <c r="F51" s="178">
        <v>1665</v>
      </c>
      <c r="G51" s="178">
        <v>472</v>
      </c>
      <c r="H51" s="178">
        <v>18</v>
      </c>
      <c r="I51" s="203">
        <v>0.7859</v>
      </c>
      <c r="J51" s="178">
        <v>1</v>
      </c>
      <c r="K51" s="204" t="s">
        <v>594</v>
      </c>
    </row>
    <row r="52" spans="1:11">
      <c r="A52" s="176">
        <v>45</v>
      </c>
      <c r="B52" s="177" t="s">
        <v>40</v>
      </c>
      <c r="C52" s="178" t="s">
        <v>31</v>
      </c>
      <c r="D52" s="178" t="s">
        <v>32</v>
      </c>
      <c r="E52" s="178" t="s">
        <v>111</v>
      </c>
      <c r="F52" s="178">
        <v>739</v>
      </c>
      <c r="G52" s="178">
        <v>472</v>
      </c>
      <c r="H52" s="178">
        <v>18</v>
      </c>
      <c r="I52" s="203">
        <v>0.3488</v>
      </c>
      <c r="J52" s="178">
        <v>1</v>
      </c>
      <c r="K52" s="204" t="s">
        <v>596</v>
      </c>
    </row>
    <row r="53" spans="1:11">
      <c r="A53" s="176">
        <v>46</v>
      </c>
      <c r="B53" s="177" t="s">
        <v>561</v>
      </c>
      <c r="C53" s="178" t="s">
        <v>35</v>
      </c>
      <c r="D53" s="178" t="s">
        <v>32</v>
      </c>
      <c r="E53" s="178" t="s">
        <v>111</v>
      </c>
      <c r="F53" s="178">
        <v>1665</v>
      </c>
      <c r="G53" s="178">
        <v>472</v>
      </c>
      <c r="H53" s="178">
        <v>18</v>
      </c>
      <c r="I53" s="203">
        <v>0.7859</v>
      </c>
      <c r="J53" s="178">
        <v>1</v>
      </c>
      <c r="K53" s="204" t="s">
        <v>595</v>
      </c>
    </row>
    <row r="54" spans="1:11">
      <c r="A54" s="176">
        <v>47</v>
      </c>
      <c r="B54" s="177" t="s">
        <v>561</v>
      </c>
      <c r="C54" s="178" t="s">
        <v>35</v>
      </c>
      <c r="D54" s="178" t="s">
        <v>32</v>
      </c>
      <c r="E54" s="178" t="s">
        <v>111</v>
      </c>
      <c r="F54" s="178">
        <v>739</v>
      </c>
      <c r="G54" s="178">
        <v>472</v>
      </c>
      <c r="H54" s="178">
        <v>18</v>
      </c>
      <c r="I54" s="203">
        <v>0.3488</v>
      </c>
      <c r="J54" s="178">
        <v>1</v>
      </c>
      <c r="K54" s="204" t="s">
        <v>597</v>
      </c>
    </row>
    <row r="55" spans="1:11">
      <c r="A55" s="176">
        <v>48</v>
      </c>
      <c r="B55" s="177" t="s">
        <v>562</v>
      </c>
      <c r="C55" s="178" t="s">
        <v>31</v>
      </c>
      <c r="D55" s="178" t="s">
        <v>32</v>
      </c>
      <c r="E55" s="178" t="s">
        <v>111</v>
      </c>
      <c r="F55" s="178">
        <v>739</v>
      </c>
      <c r="G55" s="178">
        <v>369</v>
      </c>
      <c r="H55" s="178">
        <v>18</v>
      </c>
      <c r="I55" s="203">
        <v>0.2727</v>
      </c>
      <c r="J55" s="178">
        <v>1</v>
      </c>
      <c r="K55" s="204" t="s">
        <v>596</v>
      </c>
    </row>
    <row r="56" spans="1:11">
      <c r="A56" s="176">
        <v>49</v>
      </c>
      <c r="B56" s="177" t="s">
        <v>562</v>
      </c>
      <c r="C56" s="178" t="s">
        <v>35</v>
      </c>
      <c r="D56" s="178" t="s">
        <v>32</v>
      </c>
      <c r="E56" s="178" t="s">
        <v>111</v>
      </c>
      <c r="F56" s="178">
        <v>739</v>
      </c>
      <c r="G56" s="178">
        <v>369</v>
      </c>
      <c r="H56" s="178">
        <v>18</v>
      </c>
      <c r="I56" s="203">
        <v>0.2727</v>
      </c>
      <c r="J56" s="178">
        <v>1</v>
      </c>
      <c r="K56" s="204" t="s">
        <v>597</v>
      </c>
    </row>
    <row r="57" spans="1:11">
      <c r="A57" s="176">
        <v>50</v>
      </c>
      <c r="B57" s="177" t="s">
        <v>562</v>
      </c>
      <c r="C57" s="178" t="s">
        <v>31</v>
      </c>
      <c r="D57" s="178" t="s">
        <v>32</v>
      </c>
      <c r="E57" s="178" t="s">
        <v>111</v>
      </c>
      <c r="F57" s="178">
        <v>1665</v>
      </c>
      <c r="G57" s="178">
        <v>369</v>
      </c>
      <c r="H57" s="178">
        <v>18</v>
      </c>
      <c r="I57" s="203">
        <v>0.6144</v>
      </c>
      <c r="J57" s="178">
        <v>1</v>
      </c>
      <c r="K57" s="204" t="s">
        <v>594</v>
      </c>
    </row>
    <row r="58" spans="1:11">
      <c r="A58" s="176">
        <v>51</v>
      </c>
      <c r="B58" s="177" t="s">
        <v>562</v>
      </c>
      <c r="C58" s="178" t="s">
        <v>35</v>
      </c>
      <c r="D58" s="178" t="s">
        <v>32</v>
      </c>
      <c r="E58" s="178" t="s">
        <v>111</v>
      </c>
      <c r="F58" s="178">
        <v>1665</v>
      </c>
      <c r="G58" s="178">
        <v>369</v>
      </c>
      <c r="H58" s="178">
        <v>18</v>
      </c>
      <c r="I58" s="203">
        <v>0.6144</v>
      </c>
      <c r="J58" s="178">
        <v>1</v>
      </c>
      <c r="K58" s="204" t="s">
        <v>595</v>
      </c>
    </row>
    <row r="59" spans="1:11">
      <c r="A59" s="176">
        <v>52</v>
      </c>
      <c r="B59" s="177" t="s">
        <v>563</v>
      </c>
      <c r="C59" s="178" t="s">
        <v>31</v>
      </c>
      <c r="D59" s="178" t="s">
        <v>32</v>
      </c>
      <c r="E59" s="178" t="s">
        <v>111</v>
      </c>
      <c r="F59" s="178">
        <v>1035</v>
      </c>
      <c r="G59" s="178">
        <v>489.25</v>
      </c>
      <c r="H59" s="178">
        <v>18</v>
      </c>
      <c r="I59" s="203">
        <v>0.5064</v>
      </c>
      <c r="J59" s="178">
        <v>1</v>
      </c>
      <c r="K59" s="204" t="s">
        <v>600</v>
      </c>
    </row>
    <row r="60" spans="1:11">
      <c r="A60" s="176">
        <v>53</v>
      </c>
      <c r="B60" s="177" t="s">
        <v>563</v>
      </c>
      <c r="C60" s="178" t="s">
        <v>35</v>
      </c>
      <c r="D60" s="178" t="s">
        <v>32</v>
      </c>
      <c r="E60" s="178" t="s">
        <v>111</v>
      </c>
      <c r="F60" s="178">
        <v>1035</v>
      </c>
      <c r="G60" s="178">
        <v>489.25</v>
      </c>
      <c r="H60" s="178">
        <v>18</v>
      </c>
      <c r="I60" s="203">
        <v>0.5064</v>
      </c>
      <c r="J60" s="178">
        <v>1</v>
      </c>
      <c r="K60" s="204" t="s">
        <v>601</v>
      </c>
    </row>
    <row r="61" spans="1:11">
      <c r="A61" s="176">
        <v>54</v>
      </c>
      <c r="B61" s="177" t="s">
        <v>563</v>
      </c>
      <c r="C61" s="178" t="s">
        <v>31</v>
      </c>
      <c r="D61" s="178" t="s">
        <v>32</v>
      </c>
      <c r="E61" s="178" t="s">
        <v>111</v>
      </c>
      <c r="F61" s="178">
        <v>1035</v>
      </c>
      <c r="G61" s="178">
        <v>489.25</v>
      </c>
      <c r="H61" s="178">
        <v>18</v>
      </c>
      <c r="I61" s="203">
        <v>0.5064</v>
      </c>
      <c r="J61" s="178">
        <v>1</v>
      </c>
      <c r="K61" s="204" t="s">
        <v>600</v>
      </c>
    </row>
    <row r="62" spans="1:11">
      <c r="A62" s="176">
        <v>55</v>
      </c>
      <c r="B62" s="177" t="s">
        <v>563</v>
      </c>
      <c r="C62" s="178" t="s">
        <v>35</v>
      </c>
      <c r="D62" s="178" t="s">
        <v>32</v>
      </c>
      <c r="E62" s="178" t="s">
        <v>111</v>
      </c>
      <c r="F62" s="178">
        <v>1035</v>
      </c>
      <c r="G62" s="178">
        <v>489.25</v>
      </c>
      <c r="H62" s="178">
        <v>18</v>
      </c>
      <c r="I62" s="203">
        <v>0.5064</v>
      </c>
      <c r="J62" s="178">
        <v>1</v>
      </c>
      <c r="K62" s="204" t="s">
        <v>601</v>
      </c>
    </row>
    <row r="63" spans="1:11">
      <c r="A63" s="176">
        <v>56</v>
      </c>
      <c r="B63" s="177" t="s">
        <v>563</v>
      </c>
      <c r="C63" s="178" t="s">
        <v>31</v>
      </c>
      <c r="D63" s="178" t="s">
        <v>32</v>
      </c>
      <c r="E63" s="178" t="s">
        <v>111</v>
      </c>
      <c r="F63" s="178">
        <v>1035</v>
      </c>
      <c r="G63" s="178">
        <v>433</v>
      </c>
      <c r="H63" s="178">
        <v>18</v>
      </c>
      <c r="I63" s="203">
        <v>0.4482</v>
      </c>
      <c r="J63" s="178">
        <v>1</v>
      </c>
      <c r="K63" s="204" t="s">
        <v>600</v>
      </c>
    </row>
    <row r="64" spans="1:11">
      <c r="A64" s="176">
        <v>57</v>
      </c>
      <c r="B64" s="177" t="s">
        <v>563</v>
      </c>
      <c r="C64" s="178" t="s">
        <v>31</v>
      </c>
      <c r="D64" s="178" t="s">
        <v>32</v>
      </c>
      <c r="E64" s="178" t="s">
        <v>111</v>
      </c>
      <c r="F64" s="178">
        <v>1384</v>
      </c>
      <c r="G64" s="178">
        <v>433</v>
      </c>
      <c r="H64" s="178">
        <v>18</v>
      </c>
      <c r="I64" s="203">
        <v>0.5993</v>
      </c>
      <c r="J64" s="178">
        <v>1</v>
      </c>
      <c r="K64" s="204" t="s">
        <v>602</v>
      </c>
    </row>
    <row r="65" spans="1:11">
      <c r="A65" s="176">
        <v>58</v>
      </c>
      <c r="B65" s="177" t="s">
        <v>563</v>
      </c>
      <c r="C65" s="178" t="s">
        <v>31</v>
      </c>
      <c r="D65" s="178" t="s">
        <v>32</v>
      </c>
      <c r="E65" s="178" t="s">
        <v>111</v>
      </c>
      <c r="F65" s="178">
        <v>1384</v>
      </c>
      <c r="G65" s="178">
        <v>489.25</v>
      </c>
      <c r="H65" s="178">
        <v>18</v>
      </c>
      <c r="I65" s="203">
        <v>0.6771</v>
      </c>
      <c r="J65" s="178">
        <v>1</v>
      </c>
      <c r="K65" s="204" t="s">
        <v>602</v>
      </c>
    </row>
    <row r="66" spans="1:11">
      <c r="A66" s="176">
        <v>59</v>
      </c>
      <c r="B66" s="177" t="s">
        <v>563</v>
      </c>
      <c r="C66" s="178" t="s">
        <v>35</v>
      </c>
      <c r="D66" s="178" t="s">
        <v>32</v>
      </c>
      <c r="E66" s="178" t="s">
        <v>111</v>
      </c>
      <c r="F66" s="178">
        <v>1384</v>
      </c>
      <c r="G66" s="178">
        <v>489.25</v>
      </c>
      <c r="H66" s="178">
        <v>18</v>
      </c>
      <c r="I66" s="203">
        <v>0.6771</v>
      </c>
      <c r="J66" s="178">
        <v>1</v>
      </c>
      <c r="K66" s="204" t="s">
        <v>603</v>
      </c>
    </row>
    <row r="67" spans="1:11">
      <c r="A67" s="176">
        <v>60</v>
      </c>
      <c r="B67" s="177" t="s">
        <v>563</v>
      </c>
      <c r="C67" s="178" t="s">
        <v>31</v>
      </c>
      <c r="D67" s="178" t="s">
        <v>32</v>
      </c>
      <c r="E67" s="178" t="s">
        <v>111</v>
      </c>
      <c r="F67" s="178">
        <v>1384</v>
      </c>
      <c r="G67" s="178">
        <v>489.25</v>
      </c>
      <c r="H67" s="178">
        <v>18</v>
      </c>
      <c r="I67" s="203">
        <v>0.6771</v>
      </c>
      <c r="J67" s="178">
        <v>1</v>
      </c>
      <c r="K67" s="204" t="s">
        <v>602</v>
      </c>
    </row>
    <row r="68" spans="1:11">
      <c r="A68" s="176">
        <v>61</v>
      </c>
      <c r="B68" s="177" t="s">
        <v>563</v>
      </c>
      <c r="C68" s="178" t="s">
        <v>35</v>
      </c>
      <c r="D68" s="178" t="s">
        <v>32</v>
      </c>
      <c r="E68" s="178" t="s">
        <v>111</v>
      </c>
      <c r="F68" s="178">
        <v>1384</v>
      </c>
      <c r="G68" s="178">
        <v>489.25</v>
      </c>
      <c r="H68" s="178">
        <v>18</v>
      </c>
      <c r="I68" s="203">
        <v>0.6771</v>
      </c>
      <c r="J68" s="178">
        <v>1</v>
      </c>
      <c r="K68" s="204" t="s">
        <v>603</v>
      </c>
    </row>
    <row r="69" spans="1:11">
      <c r="A69" s="176">
        <v>62</v>
      </c>
      <c r="B69" s="177" t="s">
        <v>564</v>
      </c>
      <c r="C69" s="178" t="s">
        <v>375</v>
      </c>
      <c r="D69" s="178" t="s">
        <v>32</v>
      </c>
      <c r="E69" s="178" t="s">
        <v>115</v>
      </c>
      <c r="F69" s="178">
        <v>421</v>
      </c>
      <c r="G69" s="178">
        <v>174</v>
      </c>
      <c r="H69" s="178">
        <v>18</v>
      </c>
      <c r="I69" s="203">
        <v>0.0733</v>
      </c>
      <c r="J69" s="178">
        <v>1</v>
      </c>
      <c r="K69" s="204" t="s">
        <v>4</v>
      </c>
    </row>
    <row r="70" spans="1:11">
      <c r="A70" s="176">
        <v>63</v>
      </c>
      <c r="B70" s="177" t="s">
        <v>564</v>
      </c>
      <c r="C70" s="178" t="s">
        <v>31</v>
      </c>
      <c r="D70" s="178" t="s">
        <v>32</v>
      </c>
      <c r="E70" s="178" t="s">
        <v>111</v>
      </c>
      <c r="F70" s="178">
        <v>2272</v>
      </c>
      <c r="G70" s="178">
        <v>487</v>
      </c>
      <c r="H70" s="178">
        <v>18</v>
      </c>
      <c r="I70" s="203">
        <v>1.1065</v>
      </c>
      <c r="J70" s="178">
        <v>1</v>
      </c>
      <c r="K70" s="204" t="s">
        <v>604</v>
      </c>
    </row>
    <row r="71" spans="1:11">
      <c r="A71" s="176">
        <v>64</v>
      </c>
      <c r="B71" s="177" t="s">
        <v>564</v>
      </c>
      <c r="C71" s="178" t="s">
        <v>35</v>
      </c>
      <c r="D71" s="178" t="s">
        <v>32</v>
      </c>
      <c r="E71" s="178" t="s">
        <v>111</v>
      </c>
      <c r="F71" s="178">
        <v>2272</v>
      </c>
      <c r="G71" s="178">
        <v>487</v>
      </c>
      <c r="H71" s="178">
        <v>18</v>
      </c>
      <c r="I71" s="203">
        <v>1.1065</v>
      </c>
      <c r="J71" s="178">
        <v>1</v>
      </c>
      <c r="K71" s="204" t="s">
        <v>605</v>
      </c>
    </row>
    <row r="72" spans="1:11">
      <c r="A72" s="176">
        <v>65</v>
      </c>
      <c r="B72" s="177" t="s">
        <v>565</v>
      </c>
      <c r="C72" s="178" t="s">
        <v>375</v>
      </c>
      <c r="D72" s="178" t="s">
        <v>32</v>
      </c>
      <c r="E72" s="178" t="s">
        <v>111</v>
      </c>
      <c r="F72" s="178">
        <v>491</v>
      </c>
      <c r="G72" s="178">
        <v>179</v>
      </c>
      <c r="H72" s="178">
        <v>18</v>
      </c>
      <c r="I72" s="203">
        <v>0.0879</v>
      </c>
      <c r="J72" s="178">
        <v>1</v>
      </c>
      <c r="K72" s="204" t="s">
        <v>4</v>
      </c>
    </row>
    <row r="73" spans="1:11">
      <c r="A73" s="176">
        <v>66</v>
      </c>
      <c r="B73" s="177" t="s">
        <v>565</v>
      </c>
      <c r="C73" s="178" t="s">
        <v>375</v>
      </c>
      <c r="D73" s="178" t="s">
        <v>32</v>
      </c>
      <c r="E73" s="178" t="s">
        <v>111</v>
      </c>
      <c r="F73" s="178">
        <v>491</v>
      </c>
      <c r="G73" s="178">
        <v>179</v>
      </c>
      <c r="H73" s="178">
        <v>18</v>
      </c>
      <c r="I73" s="203">
        <v>0.0879</v>
      </c>
      <c r="J73" s="178">
        <v>1</v>
      </c>
      <c r="K73" s="204" t="s">
        <v>4</v>
      </c>
    </row>
    <row r="74" spans="1:11">
      <c r="A74" s="176">
        <v>67</v>
      </c>
      <c r="B74" s="177" t="s">
        <v>565</v>
      </c>
      <c r="C74" s="178" t="s">
        <v>375</v>
      </c>
      <c r="D74" s="178" t="s">
        <v>32</v>
      </c>
      <c r="E74" s="178" t="s">
        <v>111</v>
      </c>
      <c r="F74" s="178">
        <v>491</v>
      </c>
      <c r="G74" s="178">
        <v>179</v>
      </c>
      <c r="H74" s="178">
        <v>18</v>
      </c>
      <c r="I74" s="203">
        <v>0.0879</v>
      </c>
      <c r="J74" s="178">
        <v>1</v>
      </c>
      <c r="K74" s="204" t="s">
        <v>4</v>
      </c>
    </row>
    <row r="75" spans="1:11">
      <c r="A75" s="176">
        <v>68</v>
      </c>
      <c r="B75" s="177" t="s">
        <v>565</v>
      </c>
      <c r="C75" s="178" t="s">
        <v>375</v>
      </c>
      <c r="D75" s="178" t="s">
        <v>32</v>
      </c>
      <c r="E75" s="178" t="s">
        <v>111</v>
      </c>
      <c r="F75" s="178">
        <v>491</v>
      </c>
      <c r="G75" s="178">
        <v>179</v>
      </c>
      <c r="H75" s="178">
        <v>18</v>
      </c>
      <c r="I75" s="203">
        <v>0.0879</v>
      </c>
      <c r="J75" s="178">
        <v>1</v>
      </c>
      <c r="K75" s="204" t="s">
        <v>4</v>
      </c>
    </row>
    <row r="76" spans="1:11">
      <c r="A76" s="176">
        <v>69</v>
      </c>
      <c r="B76" s="177" t="s">
        <v>565</v>
      </c>
      <c r="C76" s="178" t="s">
        <v>375</v>
      </c>
      <c r="D76" s="178" t="s">
        <v>32</v>
      </c>
      <c r="E76" s="178" t="s">
        <v>111</v>
      </c>
      <c r="F76" s="178">
        <v>490</v>
      </c>
      <c r="G76" s="178">
        <v>179</v>
      </c>
      <c r="H76" s="178">
        <v>18</v>
      </c>
      <c r="I76" s="203">
        <v>0.0877</v>
      </c>
      <c r="J76" s="178">
        <v>1</v>
      </c>
      <c r="K76" s="204" t="s">
        <v>4</v>
      </c>
    </row>
    <row r="77" spans="1:11">
      <c r="A77" s="176">
        <v>70</v>
      </c>
      <c r="B77" s="177" t="s">
        <v>565</v>
      </c>
      <c r="C77" s="178" t="s">
        <v>31</v>
      </c>
      <c r="D77" s="178" t="s">
        <v>32</v>
      </c>
      <c r="E77" s="178" t="s">
        <v>111</v>
      </c>
      <c r="F77" s="178">
        <v>1062</v>
      </c>
      <c r="G77" s="178">
        <v>408.5</v>
      </c>
      <c r="H77" s="178">
        <v>18</v>
      </c>
      <c r="I77" s="203">
        <v>0.4338</v>
      </c>
      <c r="J77" s="178">
        <v>1</v>
      </c>
      <c r="K77" s="204" t="s">
        <v>606</v>
      </c>
    </row>
    <row r="78" spans="1:11">
      <c r="A78" s="176">
        <v>71</v>
      </c>
      <c r="B78" s="177" t="s">
        <v>565</v>
      </c>
      <c r="C78" s="178" t="s">
        <v>35</v>
      </c>
      <c r="D78" s="178" t="s">
        <v>32</v>
      </c>
      <c r="E78" s="178" t="s">
        <v>111</v>
      </c>
      <c r="F78" s="178">
        <v>1062</v>
      </c>
      <c r="G78" s="178">
        <v>408.5</v>
      </c>
      <c r="H78" s="178">
        <v>18</v>
      </c>
      <c r="I78" s="203">
        <v>0.4338</v>
      </c>
      <c r="J78" s="178">
        <v>1</v>
      </c>
      <c r="K78" s="204" t="s">
        <v>607</v>
      </c>
    </row>
    <row r="79" spans="1:11">
      <c r="A79" s="176">
        <v>72</v>
      </c>
      <c r="B79" s="177" t="s">
        <v>565</v>
      </c>
      <c r="C79" s="178" t="s">
        <v>31</v>
      </c>
      <c r="D79" s="178" t="s">
        <v>32</v>
      </c>
      <c r="E79" s="178" t="s">
        <v>111</v>
      </c>
      <c r="F79" s="178">
        <v>728</v>
      </c>
      <c r="G79" s="178">
        <v>408.5</v>
      </c>
      <c r="H79" s="178">
        <v>18</v>
      </c>
      <c r="I79" s="203">
        <v>0.2974</v>
      </c>
      <c r="J79" s="178">
        <v>1</v>
      </c>
      <c r="K79" s="204" t="s">
        <v>608</v>
      </c>
    </row>
    <row r="80" spans="1:11">
      <c r="A80" s="176">
        <v>73</v>
      </c>
      <c r="B80" s="177" t="s">
        <v>565</v>
      </c>
      <c r="C80" s="178" t="s">
        <v>35</v>
      </c>
      <c r="D80" s="178" t="s">
        <v>32</v>
      </c>
      <c r="E80" s="178" t="s">
        <v>111</v>
      </c>
      <c r="F80" s="178">
        <v>728</v>
      </c>
      <c r="G80" s="178">
        <v>408.5</v>
      </c>
      <c r="H80" s="178">
        <v>18</v>
      </c>
      <c r="I80" s="203">
        <v>0.2974</v>
      </c>
      <c r="J80" s="178">
        <v>1</v>
      </c>
      <c r="K80" s="204" t="s">
        <v>609</v>
      </c>
    </row>
    <row r="81" spans="1:11">
      <c r="A81" s="176">
        <v>74</v>
      </c>
      <c r="B81" s="177" t="s">
        <v>565</v>
      </c>
      <c r="C81" s="178" t="s">
        <v>31</v>
      </c>
      <c r="D81" s="178" t="s">
        <v>32</v>
      </c>
      <c r="E81" s="178" t="s">
        <v>111</v>
      </c>
      <c r="F81" s="178">
        <v>1062</v>
      </c>
      <c r="G81" s="178">
        <v>408.5</v>
      </c>
      <c r="H81" s="178">
        <v>18</v>
      </c>
      <c r="I81" s="203">
        <v>0.4338</v>
      </c>
      <c r="J81" s="178">
        <v>1</v>
      </c>
      <c r="K81" s="204" t="s">
        <v>606</v>
      </c>
    </row>
    <row r="82" spans="1:11">
      <c r="A82" s="176">
        <v>75</v>
      </c>
      <c r="B82" s="177" t="s">
        <v>565</v>
      </c>
      <c r="C82" s="178" t="s">
        <v>35</v>
      </c>
      <c r="D82" s="178" t="s">
        <v>32</v>
      </c>
      <c r="E82" s="178" t="s">
        <v>111</v>
      </c>
      <c r="F82" s="178">
        <v>1062</v>
      </c>
      <c r="G82" s="178">
        <v>408.5</v>
      </c>
      <c r="H82" s="178">
        <v>18</v>
      </c>
      <c r="I82" s="203">
        <v>0.4338</v>
      </c>
      <c r="J82" s="178">
        <v>1</v>
      </c>
      <c r="K82" s="204" t="s">
        <v>607</v>
      </c>
    </row>
    <row r="83" spans="1:11">
      <c r="A83" s="176">
        <v>76</v>
      </c>
      <c r="B83" s="177" t="s">
        <v>41</v>
      </c>
      <c r="C83" s="178" t="s">
        <v>31</v>
      </c>
      <c r="D83" s="178" t="s">
        <v>32</v>
      </c>
      <c r="E83" s="178" t="s">
        <v>33</v>
      </c>
      <c r="F83" s="178">
        <v>2387</v>
      </c>
      <c r="G83" s="178">
        <v>445</v>
      </c>
      <c r="H83" s="178">
        <v>18</v>
      </c>
      <c r="I83" s="203">
        <v>1.0622</v>
      </c>
      <c r="J83" s="178">
        <v>1</v>
      </c>
      <c r="K83" s="204" t="s">
        <v>610</v>
      </c>
    </row>
    <row r="84" spans="1:11">
      <c r="A84" s="176">
        <v>77</v>
      </c>
      <c r="B84" s="177" t="s">
        <v>566</v>
      </c>
      <c r="C84" s="178" t="s">
        <v>119</v>
      </c>
      <c r="D84" s="178" t="s">
        <v>32</v>
      </c>
      <c r="E84" s="178" t="s">
        <v>111</v>
      </c>
      <c r="F84" s="178">
        <v>693</v>
      </c>
      <c r="G84" s="178">
        <v>277</v>
      </c>
      <c r="H84" s="178">
        <v>18</v>
      </c>
      <c r="I84" s="203">
        <v>0.192</v>
      </c>
      <c r="J84" s="178">
        <v>1</v>
      </c>
      <c r="K84" s="204" t="s">
        <v>4</v>
      </c>
    </row>
    <row r="85" spans="1:11">
      <c r="A85" s="176">
        <v>78</v>
      </c>
      <c r="B85" s="177" t="s">
        <v>567</v>
      </c>
      <c r="C85" s="178" t="s">
        <v>531</v>
      </c>
      <c r="D85" s="178" t="s">
        <v>32</v>
      </c>
      <c r="E85" s="178" t="s">
        <v>111</v>
      </c>
      <c r="F85" s="178">
        <v>277</v>
      </c>
      <c r="G85" s="178">
        <v>890</v>
      </c>
      <c r="H85" s="178">
        <v>18</v>
      </c>
      <c r="I85" s="203">
        <v>0.2465</v>
      </c>
      <c r="J85" s="178">
        <v>1</v>
      </c>
      <c r="K85" s="204" t="s">
        <v>611</v>
      </c>
    </row>
    <row r="86" spans="1:11">
      <c r="A86" s="176">
        <v>79</v>
      </c>
      <c r="B86" s="177" t="s">
        <v>568</v>
      </c>
      <c r="C86" s="178" t="s">
        <v>119</v>
      </c>
      <c r="D86" s="178" t="s">
        <v>32</v>
      </c>
      <c r="E86" s="178" t="s">
        <v>111</v>
      </c>
      <c r="F86" s="178">
        <v>694</v>
      </c>
      <c r="G86" s="178">
        <v>277</v>
      </c>
      <c r="H86" s="178">
        <v>18</v>
      </c>
      <c r="I86" s="203">
        <v>0.1922</v>
      </c>
      <c r="J86" s="178">
        <v>1</v>
      </c>
      <c r="K86" s="204" t="s">
        <v>4</v>
      </c>
    </row>
    <row r="87" spans="1:11">
      <c r="A87" s="176">
        <v>80</v>
      </c>
      <c r="B87" s="177" t="s">
        <v>568</v>
      </c>
      <c r="C87" s="178" t="s">
        <v>119</v>
      </c>
      <c r="D87" s="178" t="s">
        <v>32</v>
      </c>
      <c r="E87" s="178" t="s">
        <v>111</v>
      </c>
      <c r="F87" s="178">
        <v>693</v>
      </c>
      <c r="G87" s="178">
        <v>277</v>
      </c>
      <c r="H87" s="178">
        <v>18</v>
      </c>
      <c r="I87" s="203">
        <v>0.192</v>
      </c>
      <c r="J87" s="178">
        <v>1</v>
      </c>
      <c r="K87" s="204" t="s">
        <v>4</v>
      </c>
    </row>
    <row r="88" ht="14.25" spans="1:11">
      <c r="A88" s="182" t="s">
        <v>98</v>
      </c>
      <c r="B88" s="183"/>
      <c r="C88" s="184"/>
      <c r="D88" s="184"/>
      <c r="E88" s="184"/>
      <c r="F88" s="184"/>
      <c r="G88" s="184"/>
      <c r="H88" s="184"/>
      <c r="I88" s="184">
        <f>SUM(I8:I87)</f>
        <v>33.1536</v>
      </c>
      <c r="J88" s="184">
        <f>SUM(J8:J87)</f>
        <v>80</v>
      </c>
      <c r="K88" s="205"/>
    </row>
    <row r="90" ht="14.25"/>
    <row r="91" ht="20.25" spans="1:11">
      <c r="A91" s="42" t="s">
        <v>569</v>
      </c>
      <c r="B91" s="43"/>
      <c r="C91" s="43"/>
      <c r="D91" s="43"/>
      <c r="E91" s="43"/>
      <c r="F91" s="43"/>
      <c r="G91" s="43"/>
      <c r="H91" s="43"/>
      <c r="I91" s="43"/>
      <c r="J91" s="43"/>
      <c r="K91" s="48"/>
    </row>
    <row r="92" spans="1:11">
      <c r="A92" s="3" t="s">
        <v>1</v>
      </c>
      <c r="B92" s="4" t="s">
        <v>2</v>
      </c>
      <c r="C92" s="5"/>
      <c r="D92" s="6" t="s">
        <v>5</v>
      </c>
      <c r="E92" s="4" t="s">
        <v>6</v>
      </c>
      <c r="F92" s="5"/>
      <c r="G92" s="6" t="s">
        <v>11</v>
      </c>
      <c r="H92" s="4" t="s">
        <v>4</v>
      </c>
      <c r="I92" s="21"/>
      <c r="J92" s="21"/>
      <c r="K92" s="22"/>
    </row>
    <row r="93" spans="1:11">
      <c r="A93" s="3" t="s">
        <v>17</v>
      </c>
      <c r="B93" s="44" t="s">
        <v>18</v>
      </c>
      <c r="C93" s="6" t="s">
        <v>19</v>
      </c>
      <c r="D93" s="6" t="s">
        <v>20</v>
      </c>
      <c r="E93" s="45" t="s">
        <v>21</v>
      </c>
      <c r="F93" s="6" t="s">
        <v>22</v>
      </c>
      <c r="G93" s="6"/>
      <c r="H93" s="6"/>
      <c r="I93" s="6" t="s">
        <v>25</v>
      </c>
      <c r="J93" s="49" t="s">
        <v>24</v>
      </c>
      <c r="K93" s="50" t="s">
        <v>574</v>
      </c>
    </row>
    <row r="94" ht="14.25" spans="1:11">
      <c r="A94" s="34"/>
      <c r="B94" s="46"/>
      <c r="C94" s="35"/>
      <c r="D94" s="35"/>
      <c r="E94" s="47"/>
      <c r="F94" s="35" t="s">
        <v>27</v>
      </c>
      <c r="G94" s="35" t="s">
        <v>28</v>
      </c>
      <c r="H94" s="35" t="s">
        <v>29</v>
      </c>
      <c r="I94" s="35"/>
      <c r="J94" s="36"/>
      <c r="K94" s="38"/>
    </row>
    <row r="95" spans="1:11">
      <c r="A95" s="39"/>
      <c r="B95" s="40"/>
      <c r="C95" s="16"/>
      <c r="D95" s="16"/>
      <c r="E95" s="16"/>
      <c r="F95" s="16"/>
      <c r="G95" s="16"/>
      <c r="H95" s="16"/>
      <c r="I95" s="16"/>
      <c r="J95" s="16"/>
      <c r="K95" s="25"/>
    </row>
    <row r="96" spans="1:11">
      <c r="A96" s="39"/>
      <c r="B96" s="40"/>
      <c r="C96" s="16"/>
      <c r="D96" s="16"/>
      <c r="E96" s="16"/>
      <c r="F96" s="16"/>
      <c r="G96" s="16"/>
      <c r="H96" s="16"/>
      <c r="I96" s="16"/>
      <c r="J96" s="16"/>
      <c r="K96" s="25"/>
    </row>
  </sheetData>
  <mergeCells count="34">
    <mergeCell ref="A1:K1"/>
    <mergeCell ref="B2:C2"/>
    <mergeCell ref="E2:G2"/>
    <mergeCell ref="I2:K2"/>
    <mergeCell ref="B3:C3"/>
    <mergeCell ref="E3:G3"/>
    <mergeCell ref="I3:K3"/>
    <mergeCell ref="B4:C4"/>
    <mergeCell ref="E4:G4"/>
    <mergeCell ref="I4:K4"/>
    <mergeCell ref="A5:K5"/>
    <mergeCell ref="F6:H6"/>
    <mergeCell ref="A88:H88"/>
    <mergeCell ref="A91:K91"/>
    <mergeCell ref="B92:C92"/>
    <mergeCell ref="E92:F92"/>
    <mergeCell ref="H92:K92"/>
    <mergeCell ref="F93:H93"/>
    <mergeCell ref="A6:A7"/>
    <mergeCell ref="A93:A94"/>
    <mergeCell ref="B6:B7"/>
    <mergeCell ref="B93:B94"/>
    <mergeCell ref="C6:C7"/>
    <mergeCell ref="C93:C94"/>
    <mergeCell ref="D6:D7"/>
    <mergeCell ref="D93:D94"/>
    <mergeCell ref="E6:E7"/>
    <mergeCell ref="E93:E94"/>
    <mergeCell ref="I6:I7"/>
    <mergeCell ref="I93:I94"/>
    <mergeCell ref="J6:J7"/>
    <mergeCell ref="J93:J94"/>
    <mergeCell ref="K6:K7"/>
    <mergeCell ref="K93:K94"/>
  </mergeCells>
  <pageMargins left="0.393700787401575" right="0.393700787401575" top="0.590551181102362" bottom="0.590551181102362" header="0.511811023622047" footer="0.511811023622047"/>
  <pageSetup paperSize="32767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9"/>
  </sheetPr>
  <dimension ref="A1:I160"/>
  <sheetViews>
    <sheetView zoomScale="110" zoomScaleNormal="110" zoomScaleSheetLayoutView="110" workbookViewId="0">
      <selection activeCell="E6" sqref="E6:F6"/>
    </sheetView>
  </sheetViews>
  <sheetFormatPr defaultColWidth="9" defaultRowHeight="13.5"/>
  <cols>
    <col min="1" max="1" width="4.63333333333333" style="89" customWidth="1"/>
    <col min="2" max="2" width="18.6333333333333" customWidth="1"/>
    <col min="3" max="3" width="14.6333333333333" customWidth="1"/>
    <col min="4" max="4" width="7.63333333333333" style="89" customWidth="1"/>
    <col min="5" max="5" width="22.1333333333333" customWidth="1"/>
    <col min="6" max="6" width="7.63333333333333" customWidth="1"/>
    <col min="7" max="7" width="20.6333333333333" style="89" customWidth="1"/>
    <col min="8" max="8" width="9" customWidth="1"/>
    <col min="9" max="9" width="20" customWidth="1"/>
    <col min="10" max="16379" width="9" customWidth="1"/>
  </cols>
  <sheetData>
    <row r="1" s="89" customFormat="1" ht="35.15" customHeight="1" spans="1:7">
      <c r="A1" s="163" t="s">
        <v>612</v>
      </c>
      <c r="B1" s="164"/>
      <c r="C1" s="164"/>
      <c r="D1" s="164"/>
      <c r="E1" s="164"/>
      <c r="F1" s="164"/>
      <c r="G1" s="165"/>
    </row>
    <row r="2" s="89" customFormat="1" ht="15" customHeight="1" spans="1:7">
      <c r="A2" s="54" t="s">
        <v>1</v>
      </c>
      <c r="B2" s="90" t="s">
        <v>2</v>
      </c>
      <c r="C2" s="90"/>
      <c r="D2" s="129" t="s">
        <v>3</v>
      </c>
      <c r="E2" s="90" t="s">
        <v>4</v>
      </c>
      <c r="F2" s="166" t="s">
        <v>5</v>
      </c>
      <c r="G2" s="119" t="s">
        <v>6</v>
      </c>
    </row>
    <row r="3" s="89" customFormat="1" ht="15" customHeight="1" spans="1:7">
      <c r="A3" s="63" t="s">
        <v>7</v>
      </c>
      <c r="B3" s="92" t="s">
        <v>8</v>
      </c>
      <c r="C3" s="92"/>
      <c r="D3" s="93" t="s">
        <v>9</v>
      </c>
      <c r="E3" s="92" t="s">
        <v>10</v>
      </c>
      <c r="F3" s="167" t="s">
        <v>11</v>
      </c>
      <c r="G3" s="120" t="s">
        <v>4</v>
      </c>
    </row>
    <row r="4" s="89" customFormat="1" ht="15" customHeight="1" spans="1:7">
      <c r="A4" s="110" t="s">
        <v>12</v>
      </c>
      <c r="B4" s="121" t="s">
        <v>13</v>
      </c>
      <c r="C4" s="121"/>
      <c r="D4" s="168" t="s">
        <v>14</v>
      </c>
      <c r="E4" s="121" t="s">
        <v>4</v>
      </c>
      <c r="F4" s="169" t="s">
        <v>15</v>
      </c>
      <c r="G4" s="122" t="s">
        <v>4</v>
      </c>
    </row>
    <row r="5" s="89" customFormat="1" ht="14.25" spans="1:9">
      <c r="A5" s="7" t="s">
        <v>17</v>
      </c>
      <c r="B5" s="8" t="s">
        <v>18</v>
      </c>
      <c r="C5" s="8" t="s">
        <v>613</v>
      </c>
      <c r="D5" s="8" t="s">
        <v>45</v>
      </c>
      <c r="E5" s="9" t="s">
        <v>46</v>
      </c>
      <c r="F5" s="170"/>
      <c r="G5" s="23" t="s">
        <v>24</v>
      </c>
      <c r="I5" s="181"/>
    </row>
    <row r="6" spans="1:7">
      <c r="A6" s="171">
        <v>1</v>
      </c>
      <c r="B6" s="172" t="s">
        <v>551</v>
      </c>
      <c r="C6" s="172" t="s">
        <v>47</v>
      </c>
      <c r="D6" s="173" t="s">
        <v>48</v>
      </c>
      <c r="E6" s="174" t="s">
        <v>49</v>
      </c>
      <c r="F6" s="174"/>
      <c r="G6" s="175">
        <v>82</v>
      </c>
    </row>
    <row r="7" spans="1:7">
      <c r="A7" s="176">
        <v>2</v>
      </c>
      <c r="B7" s="177" t="s">
        <v>551</v>
      </c>
      <c r="C7" s="177" t="s">
        <v>50</v>
      </c>
      <c r="D7" s="178" t="s">
        <v>51</v>
      </c>
      <c r="E7" s="179" t="s">
        <v>52</v>
      </c>
      <c r="F7" s="179"/>
      <c r="G7" s="180">
        <v>2</v>
      </c>
    </row>
    <row r="8" spans="1:7">
      <c r="A8" s="176">
        <v>3</v>
      </c>
      <c r="B8" s="177" t="s">
        <v>551</v>
      </c>
      <c r="C8" s="177" t="s">
        <v>53</v>
      </c>
      <c r="D8" s="178" t="s">
        <v>48</v>
      </c>
      <c r="E8" s="177" t="s">
        <v>54</v>
      </c>
      <c r="F8" s="177"/>
      <c r="G8" s="180">
        <v>1</v>
      </c>
    </row>
    <row r="9" spans="1:7">
      <c r="A9" s="176">
        <v>4</v>
      </c>
      <c r="B9" s="177" t="s">
        <v>551</v>
      </c>
      <c r="C9" s="177" t="s">
        <v>151</v>
      </c>
      <c r="D9" s="178" t="s">
        <v>56</v>
      </c>
      <c r="E9" s="177" t="s">
        <v>152</v>
      </c>
      <c r="F9" s="177"/>
      <c r="G9" s="180">
        <v>3</v>
      </c>
    </row>
    <row r="10" spans="1:7">
      <c r="A10" s="176">
        <v>5</v>
      </c>
      <c r="B10" s="177" t="s">
        <v>551</v>
      </c>
      <c r="C10" s="177" t="s">
        <v>55</v>
      </c>
      <c r="D10" s="178" t="s">
        <v>56</v>
      </c>
      <c r="E10" s="177" t="s">
        <v>57</v>
      </c>
      <c r="F10" s="177"/>
      <c r="G10" s="180">
        <v>4</v>
      </c>
    </row>
    <row r="11" spans="1:7">
      <c r="A11" s="176">
        <v>6</v>
      </c>
      <c r="B11" s="177" t="s">
        <v>30</v>
      </c>
      <c r="C11" s="177" t="s">
        <v>47</v>
      </c>
      <c r="D11" s="178" t="s">
        <v>48</v>
      </c>
      <c r="E11" s="177" t="s">
        <v>49</v>
      </c>
      <c r="F11" s="177"/>
      <c r="G11" s="180">
        <v>166</v>
      </c>
    </row>
    <row r="12" spans="1:7">
      <c r="A12" s="176">
        <v>7</v>
      </c>
      <c r="B12" s="177" t="s">
        <v>30</v>
      </c>
      <c r="C12" s="177" t="s">
        <v>50</v>
      </c>
      <c r="D12" s="178" t="s">
        <v>51</v>
      </c>
      <c r="E12" s="177" t="s">
        <v>58</v>
      </c>
      <c r="F12" s="177"/>
      <c r="G12" s="180">
        <v>2</v>
      </c>
    </row>
    <row r="13" spans="1:7">
      <c r="A13" s="176">
        <v>8</v>
      </c>
      <c r="B13" s="177" t="s">
        <v>30</v>
      </c>
      <c r="C13" s="177" t="s">
        <v>59</v>
      </c>
      <c r="D13" s="178" t="s">
        <v>48</v>
      </c>
      <c r="E13" s="177" t="s">
        <v>60</v>
      </c>
      <c r="F13" s="177"/>
      <c r="G13" s="180">
        <v>8</v>
      </c>
    </row>
    <row r="14" spans="1:7">
      <c r="A14" s="176">
        <v>9</v>
      </c>
      <c r="B14" s="177" t="s">
        <v>30</v>
      </c>
      <c r="C14" s="177" t="s">
        <v>50</v>
      </c>
      <c r="D14" s="178" t="s">
        <v>51</v>
      </c>
      <c r="E14" s="177" t="s">
        <v>61</v>
      </c>
      <c r="F14" s="177"/>
      <c r="G14" s="180">
        <v>1</v>
      </c>
    </row>
    <row r="15" spans="1:7">
      <c r="A15" s="176">
        <v>10</v>
      </c>
      <c r="B15" s="177" t="s">
        <v>30</v>
      </c>
      <c r="C15" s="177" t="s">
        <v>55</v>
      </c>
      <c r="D15" s="178" t="s">
        <v>56</v>
      </c>
      <c r="E15" s="177" t="s">
        <v>57</v>
      </c>
      <c r="F15" s="177"/>
      <c r="G15" s="180">
        <v>8</v>
      </c>
    </row>
    <row r="16" spans="1:7">
      <c r="A16" s="176">
        <v>11</v>
      </c>
      <c r="B16" s="177" t="s">
        <v>30</v>
      </c>
      <c r="C16" s="177" t="s">
        <v>151</v>
      </c>
      <c r="D16" s="178" t="s">
        <v>56</v>
      </c>
      <c r="E16" s="177" t="s">
        <v>152</v>
      </c>
      <c r="F16" s="177"/>
      <c r="G16" s="180">
        <v>10</v>
      </c>
    </row>
    <row r="17" spans="1:7">
      <c r="A17" s="176">
        <v>12</v>
      </c>
      <c r="B17" s="177" t="s">
        <v>30</v>
      </c>
      <c r="C17" s="177" t="s">
        <v>55</v>
      </c>
      <c r="D17" s="178" t="s">
        <v>56</v>
      </c>
      <c r="E17" s="177" t="s">
        <v>62</v>
      </c>
      <c r="F17" s="177"/>
      <c r="G17" s="180">
        <v>12</v>
      </c>
    </row>
    <row r="18" spans="1:7">
      <c r="A18" s="176">
        <v>13</v>
      </c>
      <c r="B18" s="177" t="s">
        <v>36</v>
      </c>
      <c r="C18" s="177" t="s">
        <v>47</v>
      </c>
      <c r="D18" s="178" t="s">
        <v>48</v>
      </c>
      <c r="E18" s="177" t="s">
        <v>49</v>
      </c>
      <c r="F18" s="177"/>
      <c r="G18" s="180">
        <v>50</v>
      </c>
    </row>
    <row r="19" spans="1:7">
      <c r="A19" s="176">
        <v>14</v>
      </c>
      <c r="B19" s="177" t="s">
        <v>36</v>
      </c>
      <c r="C19" s="177" t="s">
        <v>50</v>
      </c>
      <c r="D19" s="178" t="s">
        <v>51</v>
      </c>
      <c r="E19" s="177" t="s">
        <v>63</v>
      </c>
      <c r="F19" s="177"/>
      <c r="G19" s="180">
        <v>5</v>
      </c>
    </row>
    <row r="20" spans="1:7">
      <c r="A20" s="176">
        <v>15</v>
      </c>
      <c r="B20" s="177" t="s">
        <v>36</v>
      </c>
      <c r="C20" s="177" t="s">
        <v>50</v>
      </c>
      <c r="D20" s="178" t="s">
        <v>51</v>
      </c>
      <c r="E20" s="177" t="s">
        <v>64</v>
      </c>
      <c r="F20" s="177"/>
      <c r="G20" s="180">
        <v>1</v>
      </c>
    </row>
    <row r="21" spans="1:7">
      <c r="A21" s="176">
        <v>16</v>
      </c>
      <c r="B21" s="177" t="s">
        <v>36</v>
      </c>
      <c r="C21" s="177" t="s">
        <v>55</v>
      </c>
      <c r="D21" s="178" t="s">
        <v>56</v>
      </c>
      <c r="E21" s="177" t="s">
        <v>57</v>
      </c>
      <c r="F21" s="177"/>
      <c r="G21" s="180">
        <v>5</v>
      </c>
    </row>
    <row r="22" spans="1:7">
      <c r="A22" s="176">
        <v>17</v>
      </c>
      <c r="B22" s="177" t="s">
        <v>36</v>
      </c>
      <c r="C22" s="177" t="s">
        <v>151</v>
      </c>
      <c r="D22" s="178" t="s">
        <v>56</v>
      </c>
      <c r="E22" s="177" t="s">
        <v>152</v>
      </c>
      <c r="F22" s="177"/>
      <c r="G22" s="180">
        <v>1</v>
      </c>
    </row>
    <row r="23" spans="1:7">
      <c r="A23" s="176">
        <v>18</v>
      </c>
      <c r="B23" s="177" t="s">
        <v>552</v>
      </c>
      <c r="C23" s="177" t="s">
        <v>47</v>
      </c>
      <c r="D23" s="178" t="s">
        <v>48</v>
      </c>
      <c r="E23" s="177" t="s">
        <v>49</v>
      </c>
      <c r="F23" s="177"/>
      <c r="G23" s="180">
        <v>78</v>
      </c>
    </row>
    <row r="24" spans="1:7">
      <c r="A24" s="176">
        <v>19</v>
      </c>
      <c r="B24" s="177" t="s">
        <v>553</v>
      </c>
      <c r="C24" s="177" t="s">
        <v>47</v>
      </c>
      <c r="D24" s="178" t="s">
        <v>48</v>
      </c>
      <c r="E24" s="177" t="s">
        <v>49</v>
      </c>
      <c r="F24" s="177"/>
      <c r="G24" s="180">
        <v>32</v>
      </c>
    </row>
    <row r="25" spans="1:7">
      <c r="A25" s="176">
        <v>20</v>
      </c>
      <c r="B25" s="177" t="s">
        <v>553</v>
      </c>
      <c r="C25" s="177" t="s">
        <v>55</v>
      </c>
      <c r="D25" s="178" t="s">
        <v>56</v>
      </c>
      <c r="E25" s="177" t="s">
        <v>57</v>
      </c>
      <c r="F25" s="177"/>
      <c r="G25" s="180">
        <v>4</v>
      </c>
    </row>
    <row r="26" spans="1:7">
      <c r="A26" s="176">
        <v>21</v>
      </c>
      <c r="B26" s="177" t="s">
        <v>553</v>
      </c>
      <c r="C26" s="177" t="s">
        <v>151</v>
      </c>
      <c r="D26" s="178" t="s">
        <v>56</v>
      </c>
      <c r="E26" s="177" t="s">
        <v>152</v>
      </c>
      <c r="F26" s="177"/>
      <c r="G26" s="180">
        <v>2</v>
      </c>
    </row>
    <row r="27" spans="1:7">
      <c r="A27" s="176">
        <v>22</v>
      </c>
      <c r="B27" s="177" t="s">
        <v>554</v>
      </c>
      <c r="C27" s="177" t="s">
        <v>47</v>
      </c>
      <c r="D27" s="178" t="s">
        <v>48</v>
      </c>
      <c r="E27" s="177" t="s">
        <v>49</v>
      </c>
      <c r="F27" s="177"/>
      <c r="G27" s="180">
        <v>67</v>
      </c>
    </row>
    <row r="28" spans="1:7">
      <c r="A28" s="176">
        <v>23</v>
      </c>
      <c r="B28" s="177" t="s">
        <v>554</v>
      </c>
      <c r="C28" s="177" t="s">
        <v>59</v>
      </c>
      <c r="D28" s="178" t="s">
        <v>48</v>
      </c>
      <c r="E28" s="177" t="s">
        <v>60</v>
      </c>
      <c r="F28" s="177"/>
      <c r="G28" s="180">
        <v>8</v>
      </c>
    </row>
    <row r="29" spans="1:7">
      <c r="A29" s="176">
        <v>24</v>
      </c>
      <c r="B29" s="177" t="s">
        <v>554</v>
      </c>
      <c r="C29" s="177" t="s">
        <v>55</v>
      </c>
      <c r="D29" s="178" t="s">
        <v>56</v>
      </c>
      <c r="E29" s="177" t="s">
        <v>57</v>
      </c>
      <c r="F29" s="177"/>
      <c r="G29" s="180">
        <v>8</v>
      </c>
    </row>
    <row r="30" spans="1:7">
      <c r="A30" s="176">
        <v>25</v>
      </c>
      <c r="B30" s="177" t="s">
        <v>554</v>
      </c>
      <c r="C30" s="177" t="s">
        <v>151</v>
      </c>
      <c r="D30" s="178" t="s">
        <v>56</v>
      </c>
      <c r="E30" s="177" t="s">
        <v>152</v>
      </c>
      <c r="F30" s="177"/>
      <c r="G30" s="180">
        <v>4</v>
      </c>
    </row>
    <row r="31" spans="1:7">
      <c r="A31" s="176">
        <v>26</v>
      </c>
      <c r="B31" s="177" t="s">
        <v>555</v>
      </c>
      <c r="C31" s="177" t="s">
        <v>47</v>
      </c>
      <c r="D31" s="178" t="s">
        <v>48</v>
      </c>
      <c r="E31" s="177" t="s">
        <v>49</v>
      </c>
      <c r="F31" s="177"/>
      <c r="G31" s="180">
        <v>18</v>
      </c>
    </row>
    <row r="32" spans="1:7">
      <c r="A32" s="176">
        <v>27</v>
      </c>
      <c r="B32" s="177" t="s">
        <v>555</v>
      </c>
      <c r="C32" s="177" t="s">
        <v>59</v>
      </c>
      <c r="D32" s="178" t="s">
        <v>48</v>
      </c>
      <c r="E32" s="177" t="s">
        <v>60</v>
      </c>
      <c r="F32" s="177"/>
      <c r="G32" s="180">
        <v>4</v>
      </c>
    </row>
    <row r="33" spans="1:7">
      <c r="A33" s="176">
        <v>28</v>
      </c>
      <c r="B33" s="177" t="s">
        <v>555</v>
      </c>
      <c r="C33" s="177" t="s">
        <v>55</v>
      </c>
      <c r="D33" s="178" t="s">
        <v>56</v>
      </c>
      <c r="E33" s="177" t="s">
        <v>57</v>
      </c>
      <c r="F33" s="177"/>
      <c r="G33" s="180">
        <v>2</v>
      </c>
    </row>
    <row r="34" spans="1:7">
      <c r="A34" s="176">
        <v>29</v>
      </c>
      <c r="B34" s="177" t="s">
        <v>555</v>
      </c>
      <c r="C34" s="177" t="s">
        <v>151</v>
      </c>
      <c r="D34" s="178" t="s">
        <v>56</v>
      </c>
      <c r="E34" s="177" t="s">
        <v>152</v>
      </c>
      <c r="F34" s="177"/>
      <c r="G34" s="180">
        <v>1</v>
      </c>
    </row>
    <row r="35" spans="1:7">
      <c r="A35" s="176">
        <v>30</v>
      </c>
      <c r="B35" s="177" t="s">
        <v>556</v>
      </c>
      <c r="C35" s="177" t="s">
        <v>47</v>
      </c>
      <c r="D35" s="178" t="s">
        <v>48</v>
      </c>
      <c r="E35" s="177" t="s">
        <v>49</v>
      </c>
      <c r="F35" s="177"/>
      <c r="G35" s="180">
        <v>60</v>
      </c>
    </row>
    <row r="36" spans="1:7">
      <c r="A36" s="176">
        <v>31</v>
      </c>
      <c r="B36" s="177" t="s">
        <v>556</v>
      </c>
      <c r="C36" s="177" t="s">
        <v>59</v>
      </c>
      <c r="D36" s="178" t="s">
        <v>48</v>
      </c>
      <c r="E36" s="177" t="s">
        <v>60</v>
      </c>
      <c r="F36" s="177"/>
      <c r="G36" s="180">
        <v>12</v>
      </c>
    </row>
    <row r="37" spans="1:7">
      <c r="A37" s="176">
        <v>32</v>
      </c>
      <c r="B37" s="177" t="s">
        <v>556</v>
      </c>
      <c r="C37" s="177" t="s">
        <v>55</v>
      </c>
      <c r="D37" s="178" t="s">
        <v>56</v>
      </c>
      <c r="E37" s="177" t="s">
        <v>65</v>
      </c>
      <c r="F37" s="177"/>
      <c r="G37" s="180">
        <v>6</v>
      </c>
    </row>
    <row r="38" spans="1:7">
      <c r="A38" s="176">
        <v>33</v>
      </c>
      <c r="B38" s="177" t="s">
        <v>556</v>
      </c>
      <c r="C38" s="177" t="s">
        <v>151</v>
      </c>
      <c r="D38" s="178" t="s">
        <v>56</v>
      </c>
      <c r="E38" s="177" t="s">
        <v>152</v>
      </c>
      <c r="F38" s="177"/>
      <c r="G38" s="180">
        <v>4</v>
      </c>
    </row>
    <row r="39" spans="1:7">
      <c r="A39" s="176">
        <v>34</v>
      </c>
      <c r="B39" s="177" t="s">
        <v>556</v>
      </c>
      <c r="C39" s="177" t="s">
        <v>55</v>
      </c>
      <c r="D39" s="178" t="s">
        <v>56</v>
      </c>
      <c r="E39" s="177" t="s">
        <v>57</v>
      </c>
      <c r="F39" s="177"/>
      <c r="G39" s="180">
        <v>6</v>
      </c>
    </row>
    <row r="40" spans="1:7">
      <c r="A40" s="176">
        <v>35</v>
      </c>
      <c r="B40" s="177" t="s">
        <v>557</v>
      </c>
      <c r="C40" s="177" t="s">
        <v>47</v>
      </c>
      <c r="D40" s="178" t="s">
        <v>48</v>
      </c>
      <c r="E40" s="177" t="s">
        <v>49</v>
      </c>
      <c r="F40" s="177"/>
      <c r="G40" s="180">
        <v>63</v>
      </c>
    </row>
    <row r="41" spans="1:7">
      <c r="A41" s="176">
        <v>36</v>
      </c>
      <c r="B41" s="177" t="s">
        <v>557</v>
      </c>
      <c r="C41" s="177" t="s">
        <v>53</v>
      </c>
      <c r="D41" s="178" t="s">
        <v>48</v>
      </c>
      <c r="E41" s="177" t="s">
        <v>66</v>
      </c>
      <c r="F41" s="177"/>
      <c r="G41" s="180">
        <v>2</v>
      </c>
    </row>
    <row r="42" spans="1:7">
      <c r="A42" s="176">
        <v>37</v>
      </c>
      <c r="B42" s="177" t="s">
        <v>557</v>
      </c>
      <c r="C42" s="177" t="s">
        <v>151</v>
      </c>
      <c r="D42" s="178" t="s">
        <v>56</v>
      </c>
      <c r="E42" s="177" t="s">
        <v>152</v>
      </c>
      <c r="F42" s="177"/>
      <c r="G42" s="180">
        <v>2</v>
      </c>
    </row>
    <row r="43" spans="1:7">
      <c r="A43" s="176">
        <v>38</v>
      </c>
      <c r="B43" s="177" t="s">
        <v>38</v>
      </c>
      <c r="C43" s="177" t="s">
        <v>47</v>
      </c>
      <c r="D43" s="178" t="s">
        <v>48</v>
      </c>
      <c r="E43" s="177" t="s">
        <v>49</v>
      </c>
      <c r="F43" s="177"/>
      <c r="G43" s="180">
        <v>66</v>
      </c>
    </row>
    <row r="44" spans="1:7">
      <c r="A44" s="176">
        <v>39</v>
      </c>
      <c r="B44" s="177" t="s">
        <v>38</v>
      </c>
      <c r="C44" s="177" t="s">
        <v>50</v>
      </c>
      <c r="D44" s="178" t="s">
        <v>51</v>
      </c>
      <c r="E44" s="177" t="s">
        <v>67</v>
      </c>
      <c r="F44" s="177"/>
      <c r="G44" s="180">
        <v>3</v>
      </c>
    </row>
    <row r="45" spans="1:7">
      <c r="A45" s="176">
        <v>40</v>
      </c>
      <c r="B45" s="177" t="s">
        <v>38</v>
      </c>
      <c r="C45" s="177" t="s">
        <v>53</v>
      </c>
      <c r="D45" s="178" t="s">
        <v>48</v>
      </c>
      <c r="E45" s="177" t="s">
        <v>68</v>
      </c>
      <c r="F45" s="177"/>
      <c r="G45" s="180">
        <v>3</v>
      </c>
    </row>
    <row r="46" spans="1:7">
      <c r="A46" s="176">
        <v>41</v>
      </c>
      <c r="B46" s="177" t="s">
        <v>38</v>
      </c>
      <c r="C46" s="177" t="s">
        <v>151</v>
      </c>
      <c r="D46" s="178" t="s">
        <v>56</v>
      </c>
      <c r="E46" s="177" t="s">
        <v>152</v>
      </c>
      <c r="F46" s="177"/>
      <c r="G46" s="180">
        <v>4</v>
      </c>
    </row>
    <row r="47" spans="1:7">
      <c r="A47" s="176">
        <v>42</v>
      </c>
      <c r="B47" s="177" t="s">
        <v>38</v>
      </c>
      <c r="C47" s="177" t="s">
        <v>55</v>
      </c>
      <c r="D47" s="178" t="s">
        <v>56</v>
      </c>
      <c r="E47" s="177" t="s">
        <v>57</v>
      </c>
      <c r="F47" s="177"/>
      <c r="G47" s="180">
        <v>3</v>
      </c>
    </row>
    <row r="48" spans="1:7">
      <c r="A48" s="176">
        <v>43</v>
      </c>
      <c r="B48" s="177" t="s">
        <v>558</v>
      </c>
      <c r="C48" s="177" t="s">
        <v>47</v>
      </c>
      <c r="D48" s="178" t="s">
        <v>48</v>
      </c>
      <c r="E48" s="177" t="s">
        <v>49</v>
      </c>
      <c r="F48" s="177"/>
      <c r="G48" s="180">
        <v>72</v>
      </c>
    </row>
    <row r="49" spans="1:7">
      <c r="A49" s="176">
        <v>44</v>
      </c>
      <c r="B49" s="177" t="s">
        <v>558</v>
      </c>
      <c r="C49" s="177" t="s">
        <v>55</v>
      </c>
      <c r="D49" s="178" t="s">
        <v>56</v>
      </c>
      <c r="E49" s="177" t="s">
        <v>57</v>
      </c>
      <c r="F49" s="177"/>
      <c r="G49" s="180">
        <v>6</v>
      </c>
    </row>
    <row r="50" spans="1:7">
      <c r="A50" s="176">
        <v>45</v>
      </c>
      <c r="B50" s="177" t="s">
        <v>558</v>
      </c>
      <c r="C50" s="177" t="s">
        <v>151</v>
      </c>
      <c r="D50" s="178" t="s">
        <v>56</v>
      </c>
      <c r="E50" s="177" t="s">
        <v>152</v>
      </c>
      <c r="F50" s="177"/>
      <c r="G50" s="180">
        <v>6</v>
      </c>
    </row>
    <row r="51" spans="1:7">
      <c r="A51" s="176">
        <v>46</v>
      </c>
      <c r="B51" s="177" t="s">
        <v>558</v>
      </c>
      <c r="C51" s="177" t="s">
        <v>55</v>
      </c>
      <c r="D51" s="178" t="s">
        <v>56</v>
      </c>
      <c r="E51" s="177" t="s">
        <v>62</v>
      </c>
      <c r="F51" s="177"/>
      <c r="G51" s="180">
        <v>12</v>
      </c>
    </row>
    <row r="52" spans="1:7">
      <c r="A52" s="176">
        <v>47</v>
      </c>
      <c r="B52" s="177" t="s">
        <v>558</v>
      </c>
      <c r="C52" s="177" t="s">
        <v>69</v>
      </c>
      <c r="D52" s="178" t="s">
        <v>70</v>
      </c>
      <c r="E52" s="177" t="s">
        <v>71</v>
      </c>
      <c r="F52" s="177"/>
      <c r="G52" s="180">
        <v>1</v>
      </c>
    </row>
    <row r="53" spans="1:7">
      <c r="A53" s="176">
        <v>48</v>
      </c>
      <c r="B53" s="177" t="s">
        <v>558</v>
      </c>
      <c r="C53" s="177" t="s">
        <v>72</v>
      </c>
      <c r="D53" s="178" t="s">
        <v>73</v>
      </c>
      <c r="E53" s="177" t="s">
        <v>74</v>
      </c>
      <c r="F53" s="177"/>
      <c r="G53" s="180">
        <v>2</v>
      </c>
    </row>
    <row r="54" spans="1:7">
      <c r="A54" s="176">
        <v>49</v>
      </c>
      <c r="B54" s="177" t="s">
        <v>559</v>
      </c>
      <c r="C54" s="177" t="s">
        <v>47</v>
      </c>
      <c r="D54" s="178" t="s">
        <v>48</v>
      </c>
      <c r="E54" s="177" t="s">
        <v>49</v>
      </c>
      <c r="F54" s="177"/>
      <c r="G54" s="180">
        <v>66</v>
      </c>
    </row>
    <row r="55" spans="1:7">
      <c r="A55" s="176">
        <v>50</v>
      </c>
      <c r="B55" s="177" t="s">
        <v>559</v>
      </c>
      <c r="C55" s="177" t="s">
        <v>55</v>
      </c>
      <c r="D55" s="178" t="s">
        <v>56</v>
      </c>
      <c r="E55" s="177" t="s">
        <v>57</v>
      </c>
      <c r="F55" s="177"/>
      <c r="G55" s="180">
        <v>6</v>
      </c>
    </row>
    <row r="56" spans="1:7">
      <c r="A56" s="176">
        <v>51</v>
      </c>
      <c r="B56" s="177" t="s">
        <v>559</v>
      </c>
      <c r="C56" s="177" t="s">
        <v>151</v>
      </c>
      <c r="D56" s="178" t="s">
        <v>56</v>
      </c>
      <c r="E56" s="177" t="s">
        <v>152</v>
      </c>
      <c r="F56" s="177"/>
      <c r="G56" s="180">
        <v>2</v>
      </c>
    </row>
    <row r="57" spans="1:7">
      <c r="A57" s="176">
        <v>52</v>
      </c>
      <c r="B57" s="177" t="s">
        <v>559</v>
      </c>
      <c r="C57" s="177" t="s">
        <v>69</v>
      </c>
      <c r="D57" s="178" t="s">
        <v>70</v>
      </c>
      <c r="E57" s="177" t="s">
        <v>75</v>
      </c>
      <c r="F57" s="177"/>
      <c r="G57" s="180">
        <v>2</v>
      </c>
    </row>
    <row r="58" spans="1:7">
      <c r="A58" s="176">
        <v>53</v>
      </c>
      <c r="B58" s="177" t="s">
        <v>559</v>
      </c>
      <c r="C58" s="177" t="s">
        <v>72</v>
      </c>
      <c r="D58" s="178" t="s">
        <v>73</v>
      </c>
      <c r="E58" s="177" t="s">
        <v>74</v>
      </c>
      <c r="F58" s="177"/>
      <c r="G58" s="180">
        <v>4</v>
      </c>
    </row>
    <row r="59" spans="1:7">
      <c r="A59" s="176">
        <v>54</v>
      </c>
      <c r="B59" s="177" t="s">
        <v>40</v>
      </c>
      <c r="C59" s="177" t="s">
        <v>47</v>
      </c>
      <c r="D59" s="178" t="s">
        <v>48</v>
      </c>
      <c r="E59" s="177" t="s">
        <v>49</v>
      </c>
      <c r="F59" s="177"/>
      <c r="G59" s="180">
        <v>96</v>
      </c>
    </row>
    <row r="60" spans="1:7">
      <c r="A60" s="176">
        <v>55</v>
      </c>
      <c r="B60" s="177" t="s">
        <v>40</v>
      </c>
      <c r="C60" s="177" t="s">
        <v>50</v>
      </c>
      <c r="D60" s="178" t="s">
        <v>51</v>
      </c>
      <c r="E60" s="177" t="s">
        <v>76</v>
      </c>
      <c r="F60" s="177"/>
      <c r="G60" s="180">
        <v>2</v>
      </c>
    </row>
    <row r="61" spans="1:7">
      <c r="A61" s="176">
        <v>56</v>
      </c>
      <c r="B61" s="177" t="s">
        <v>40</v>
      </c>
      <c r="C61" s="177" t="s">
        <v>53</v>
      </c>
      <c r="D61" s="178" t="s">
        <v>48</v>
      </c>
      <c r="E61" s="177" t="s">
        <v>77</v>
      </c>
      <c r="F61" s="177"/>
      <c r="G61" s="180">
        <v>2</v>
      </c>
    </row>
    <row r="62" spans="1:7">
      <c r="A62" s="176">
        <v>57</v>
      </c>
      <c r="B62" s="177" t="s">
        <v>40</v>
      </c>
      <c r="C62" s="177" t="s">
        <v>151</v>
      </c>
      <c r="D62" s="178" t="s">
        <v>56</v>
      </c>
      <c r="E62" s="177" t="s">
        <v>152</v>
      </c>
      <c r="F62" s="177"/>
      <c r="G62" s="180">
        <v>6</v>
      </c>
    </row>
    <row r="63" spans="1:7">
      <c r="A63" s="176">
        <v>58</v>
      </c>
      <c r="B63" s="177" t="s">
        <v>40</v>
      </c>
      <c r="C63" s="177" t="s">
        <v>55</v>
      </c>
      <c r="D63" s="178" t="s">
        <v>56</v>
      </c>
      <c r="E63" s="177" t="s">
        <v>62</v>
      </c>
      <c r="F63" s="177"/>
      <c r="G63" s="180">
        <v>5</v>
      </c>
    </row>
    <row r="64" spans="1:7">
      <c r="A64" s="176">
        <v>59</v>
      </c>
      <c r="B64" s="177" t="s">
        <v>40</v>
      </c>
      <c r="C64" s="177" t="s">
        <v>55</v>
      </c>
      <c r="D64" s="178" t="s">
        <v>56</v>
      </c>
      <c r="E64" s="177" t="s">
        <v>57</v>
      </c>
      <c r="F64" s="177"/>
      <c r="G64" s="180">
        <v>11</v>
      </c>
    </row>
    <row r="65" spans="1:7">
      <c r="A65" s="176">
        <v>60</v>
      </c>
      <c r="B65" s="177" t="s">
        <v>40</v>
      </c>
      <c r="C65" s="177" t="s">
        <v>69</v>
      </c>
      <c r="D65" s="178" t="s">
        <v>70</v>
      </c>
      <c r="E65" s="177" t="s">
        <v>78</v>
      </c>
      <c r="F65" s="177"/>
      <c r="G65" s="180">
        <v>1</v>
      </c>
    </row>
    <row r="66" spans="1:7">
      <c r="A66" s="176">
        <v>61</v>
      </c>
      <c r="B66" s="177" t="s">
        <v>40</v>
      </c>
      <c r="C66" s="177" t="s">
        <v>72</v>
      </c>
      <c r="D66" s="178" t="s">
        <v>73</v>
      </c>
      <c r="E66" s="177" t="s">
        <v>74</v>
      </c>
      <c r="F66" s="177"/>
      <c r="G66" s="180">
        <v>2</v>
      </c>
    </row>
    <row r="67" spans="1:7">
      <c r="A67" s="176">
        <v>62</v>
      </c>
      <c r="B67" s="177" t="s">
        <v>561</v>
      </c>
      <c r="C67" s="177" t="s">
        <v>47</v>
      </c>
      <c r="D67" s="178" t="s">
        <v>48</v>
      </c>
      <c r="E67" s="177" t="s">
        <v>49</v>
      </c>
      <c r="F67" s="177"/>
      <c r="G67" s="180">
        <v>56</v>
      </c>
    </row>
    <row r="68" spans="1:7">
      <c r="A68" s="176">
        <v>63</v>
      </c>
      <c r="B68" s="177" t="s">
        <v>561</v>
      </c>
      <c r="C68" s="177" t="s">
        <v>55</v>
      </c>
      <c r="D68" s="178" t="s">
        <v>56</v>
      </c>
      <c r="E68" s="177" t="s">
        <v>57</v>
      </c>
      <c r="F68" s="177"/>
      <c r="G68" s="180">
        <v>6</v>
      </c>
    </row>
    <row r="69" spans="1:7">
      <c r="A69" s="176">
        <v>64</v>
      </c>
      <c r="B69" s="177" t="s">
        <v>561</v>
      </c>
      <c r="C69" s="177" t="s">
        <v>151</v>
      </c>
      <c r="D69" s="178" t="s">
        <v>56</v>
      </c>
      <c r="E69" s="177" t="s">
        <v>152</v>
      </c>
      <c r="F69" s="177"/>
      <c r="G69" s="180">
        <v>2</v>
      </c>
    </row>
    <row r="70" spans="1:7">
      <c r="A70" s="176">
        <v>65</v>
      </c>
      <c r="B70" s="177" t="s">
        <v>561</v>
      </c>
      <c r="C70" s="177" t="s">
        <v>69</v>
      </c>
      <c r="D70" s="178" t="s">
        <v>70</v>
      </c>
      <c r="E70" s="177" t="s">
        <v>79</v>
      </c>
      <c r="F70" s="177"/>
      <c r="G70" s="180">
        <v>1</v>
      </c>
    </row>
    <row r="71" spans="1:7">
      <c r="A71" s="176">
        <v>66</v>
      </c>
      <c r="B71" s="177" t="s">
        <v>561</v>
      </c>
      <c r="C71" s="177" t="s">
        <v>72</v>
      </c>
      <c r="D71" s="178" t="s">
        <v>73</v>
      </c>
      <c r="E71" s="177" t="s">
        <v>74</v>
      </c>
      <c r="F71" s="177"/>
      <c r="G71" s="180">
        <v>2</v>
      </c>
    </row>
    <row r="72" spans="1:7">
      <c r="A72" s="176">
        <v>67</v>
      </c>
      <c r="B72" s="177" t="s">
        <v>562</v>
      </c>
      <c r="C72" s="177" t="s">
        <v>47</v>
      </c>
      <c r="D72" s="178" t="s">
        <v>48</v>
      </c>
      <c r="E72" s="177" t="s">
        <v>49</v>
      </c>
      <c r="F72" s="177"/>
      <c r="G72" s="180">
        <v>37</v>
      </c>
    </row>
    <row r="73" spans="1:7">
      <c r="A73" s="176">
        <v>68</v>
      </c>
      <c r="B73" s="177" t="s">
        <v>562</v>
      </c>
      <c r="C73" s="177" t="s">
        <v>55</v>
      </c>
      <c r="D73" s="178" t="s">
        <v>56</v>
      </c>
      <c r="E73" s="177" t="s">
        <v>65</v>
      </c>
      <c r="F73" s="177"/>
      <c r="G73" s="180">
        <v>6</v>
      </c>
    </row>
    <row r="74" spans="1:7">
      <c r="A74" s="176">
        <v>69</v>
      </c>
      <c r="B74" s="177" t="s">
        <v>562</v>
      </c>
      <c r="C74" s="177" t="s">
        <v>151</v>
      </c>
      <c r="D74" s="178" t="s">
        <v>56</v>
      </c>
      <c r="E74" s="177" t="s">
        <v>152</v>
      </c>
      <c r="F74" s="177"/>
      <c r="G74" s="180">
        <v>4</v>
      </c>
    </row>
    <row r="75" spans="1:7">
      <c r="A75" s="176">
        <v>70</v>
      </c>
      <c r="B75" s="177" t="s">
        <v>562</v>
      </c>
      <c r="C75" s="177" t="s">
        <v>55</v>
      </c>
      <c r="D75" s="178" t="s">
        <v>56</v>
      </c>
      <c r="E75" s="177" t="s">
        <v>57</v>
      </c>
      <c r="F75" s="177"/>
      <c r="G75" s="180">
        <v>6</v>
      </c>
    </row>
    <row r="76" spans="1:7">
      <c r="A76" s="176">
        <v>71</v>
      </c>
      <c r="B76" s="177" t="s">
        <v>562</v>
      </c>
      <c r="C76" s="177" t="s">
        <v>69</v>
      </c>
      <c r="D76" s="178" t="s">
        <v>70</v>
      </c>
      <c r="E76" s="177" t="s">
        <v>80</v>
      </c>
      <c r="F76" s="177"/>
      <c r="G76" s="180">
        <v>1</v>
      </c>
    </row>
    <row r="77" spans="1:7">
      <c r="A77" s="176">
        <v>72</v>
      </c>
      <c r="B77" s="177" t="s">
        <v>562</v>
      </c>
      <c r="C77" s="177" t="s">
        <v>72</v>
      </c>
      <c r="D77" s="178" t="s">
        <v>73</v>
      </c>
      <c r="E77" s="177" t="s">
        <v>74</v>
      </c>
      <c r="F77" s="177"/>
      <c r="G77" s="180">
        <v>2</v>
      </c>
    </row>
    <row r="78" spans="1:7">
      <c r="A78" s="176">
        <v>73</v>
      </c>
      <c r="B78" s="177" t="s">
        <v>563</v>
      </c>
      <c r="C78" s="177" t="s">
        <v>47</v>
      </c>
      <c r="D78" s="178" t="s">
        <v>48</v>
      </c>
      <c r="E78" s="177" t="s">
        <v>49</v>
      </c>
      <c r="F78" s="177"/>
      <c r="G78" s="180">
        <v>103</v>
      </c>
    </row>
    <row r="79" spans="1:7">
      <c r="A79" s="176">
        <v>74</v>
      </c>
      <c r="B79" s="177" t="s">
        <v>563</v>
      </c>
      <c r="C79" s="177" t="s">
        <v>55</v>
      </c>
      <c r="D79" s="178" t="s">
        <v>56</v>
      </c>
      <c r="E79" s="177" t="s">
        <v>65</v>
      </c>
      <c r="F79" s="177"/>
      <c r="G79" s="180">
        <v>10</v>
      </c>
    </row>
    <row r="80" spans="1:7">
      <c r="A80" s="176">
        <v>75</v>
      </c>
      <c r="B80" s="177" t="s">
        <v>563</v>
      </c>
      <c r="C80" s="177" t="s">
        <v>151</v>
      </c>
      <c r="D80" s="178" t="s">
        <v>56</v>
      </c>
      <c r="E80" s="177" t="s">
        <v>152</v>
      </c>
      <c r="F80" s="177"/>
      <c r="G80" s="180">
        <v>10</v>
      </c>
    </row>
    <row r="81" spans="1:7">
      <c r="A81" s="176">
        <v>76</v>
      </c>
      <c r="B81" s="177" t="s">
        <v>563</v>
      </c>
      <c r="C81" s="177" t="s">
        <v>55</v>
      </c>
      <c r="D81" s="178" t="s">
        <v>56</v>
      </c>
      <c r="E81" s="177" t="s">
        <v>62</v>
      </c>
      <c r="F81" s="177"/>
      <c r="G81" s="180">
        <v>10</v>
      </c>
    </row>
    <row r="82" spans="1:7">
      <c r="A82" s="176">
        <v>77</v>
      </c>
      <c r="B82" s="177" t="s">
        <v>563</v>
      </c>
      <c r="C82" s="177" t="s">
        <v>55</v>
      </c>
      <c r="D82" s="178" t="s">
        <v>56</v>
      </c>
      <c r="E82" s="177" t="s">
        <v>57</v>
      </c>
      <c r="F82" s="177"/>
      <c r="G82" s="180">
        <v>5</v>
      </c>
    </row>
    <row r="83" spans="1:7">
      <c r="A83" s="176">
        <v>78</v>
      </c>
      <c r="B83" s="177" t="s">
        <v>564</v>
      </c>
      <c r="C83" s="177" t="s">
        <v>47</v>
      </c>
      <c r="D83" s="178" t="s">
        <v>48</v>
      </c>
      <c r="E83" s="177" t="s">
        <v>49</v>
      </c>
      <c r="F83" s="177"/>
      <c r="G83" s="180">
        <v>91</v>
      </c>
    </row>
    <row r="84" spans="1:7">
      <c r="A84" s="176">
        <v>79</v>
      </c>
      <c r="B84" s="177" t="s">
        <v>564</v>
      </c>
      <c r="C84" s="177" t="s">
        <v>53</v>
      </c>
      <c r="D84" s="178" t="s">
        <v>48</v>
      </c>
      <c r="E84" s="177" t="s">
        <v>81</v>
      </c>
      <c r="F84" s="177"/>
      <c r="G84" s="180">
        <v>1</v>
      </c>
    </row>
    <row r="85" spans="1:7">
      <c r="A85" s="176">
        <v>80</v>
      </c>
      <c r="B85" s="177" t="s">
        <v>564</v>
      </c>
      <c r="C85" s="177" t="s">
        <v>151</v>
      </c>
      <c r="D85" s="178" t="s">
        <v>56</v>
      </c>
      <c r="E85" s="177" t="s">
        <v>152</v>
      </c>
      <c r="F85" s="177"/>
      <c r="G85" s="180">
        <v>3</v>
      </c>
    </row>
    <row r="86" spans="1:7">
      <c r="A86" s="176">
        <v>81</v>
      </c>
      <c r="B86" s="177" t="s">
        <v>564</v>
      </c>
      <c r="C86" s="177" t="s">
        <v>55</v>
      </c>
      <c r="D86" s="178" t="s">
        <v>56</v>
      </c>
      <c r="E86" s="177" t="s">
        <v>57</v>
      </c>
      <c r="F86" s="177"/>
      <c r="G86" s="180">
        <v>10</v>
      </c>
    </row>
    <row r="87" spans="1:7">
      <c r="A87" s="176">
        <v>82</v>
      </c>
      <c r="B87" s="177" t="s">
        <v>564</v>
      </c>
      <c r="C87" s="177" t="s">
        <v>69</v>
      </c>
      <c r="D87" s="178" t="s">
        <v>70</v>
      </c>
      <c r="E87" s="177" t="s">
        <v>82</v>
      </c>
      <c r="F87" s="177"/>
      <c r="G87" s="180">
        <v>1</v>
      </c>
    </row>
    <row r="88" spans="1:7">
      <c r="A88" s="176">
        <v>83</v>
      </c>
      <c r="B88" s="177" t="s">
        <v>564</v>
      </c>
      <c r="C88" s="177" t="s">
        <v>72</v>
      </c>
      <c r="D88" s="178" t="s">
        <v>73</v>
      </c>
      <c r="E88" s="177" t="s">
        <v>74</v>
      </c>
      <c r="F88" s="177"/>
      <c r="G88" s="180">
        <v>4</v>
      </c>
    </row>
    <row r="89" spans="1:7">
      <c r="A89" s="176">
        <v>84</v>
      </c>
      <c r="B89" s="177" t="s">
        <v>564</v>
      </c>
      <c r="C89" s="177" t="s">
        <v>69</v>
      </c>
      <c r="D89" s="178" t="s">
        <v>70</v>
      </c>
      <c r="E89" s="177" t="s">
        <v>83</v>
      </c>
      <c r="F89" s="177"/>
      <c r="G89" s="180">
        <v>1</v>
      </c>
    </row>
    <row r="90" spans="1:7">
      <c r="A90" s="176">
        <v>85</v>
      </c>
      <c r="B90" s="177" t="s">
        <v>565</v>
      </c>
      <c r="C90" s="177" t="s">
        <v>47</v>
      </c>
      <c r="D90" s="178" t="s">
        <v>48</v>
      </c>
      <c r="E90" s="177" t="s">
        <v>49</v>
      </c>
      <c r="F90" s="177"/>
      <c r="G90" s="180">
        <v>151</v>
      </c>
    </row>
    <row r="91" spans="1:7">
      <c r="A91" s="176">
        <v>86</v>
      </c>
      <c r="B91" s="177" t="s">
        <v>565</v>
      </c>
      <c r="C91" s="177" t="s">
        <v>50</v>
      </c>
      <c r="D91" s="178" t="s">
        <v>51</v>
      </c>
      <c r="E91" s="177" t="s">
        <v>84</v>
      </c>
      <c r="F91" s="177"/>
      <c r="G91" s="180">
        <v>1</v>
      </c>
    </row>
    <row r="92" spans="1:7">
      <c r="A92" s="176">
        <v>87</v>
      </c>
      <c r="B92" s="177" t="s">
        <v>565</v>
      </c>
      <c r="C92" s="177" t="s">
        <v>50</v>
      </c>
      <c r="D92" s="178" t="s">
        <v>51</v>
      </c>
      <c r="E92" s="177" t="s">
        <v>85</v>
      </c>
      <c r="F92" s="177"/>
      <c r="G92" s="180">
        <v>1</v>
      </c>
    </row>
    <row r="93" spans="1:7">
      <c r="A93" s="176">
        <v>88</v>
      </c>
      <c r="B93" s="177" t="s">
        <v>565</v>
      </c>
      <c r="C93" s="177" t="s">
        <v>53</v>
      </c>
      <c r="D93" s="178" t="s">
        <v>48</v>
      </c>
      <c r="E93" s="177" t="s">
        <v>68</v>
      </c>
      <c r="F93" s="177"/>
      <c r="G93" s="180">
        <v>5</v>
      </c>
    </row>
    <row r="94" spans="1:7">
      <c r="A94" s="176">
        <v>89</v>
      </c>
      <c r="B94" s="177" t="s">
        <v>565</v>
      </c>
      <c r="C94" s="177" t="s">
        <v>151</v>
      </c>
      <c r="D94" s="178" t="s">
        <v>56</v>
      </c>
      <c r="E94" s="177" t="s">
        <v>152</v>
      </c>
      <c r="F94" s="177"/>
      <c r="G94" s="180">
        <v>11</v>
      </c>
    </row>
    <row r="95" spans="1:7">
      <c r="A95" s="176">
        <v>90</v>
      </c>
      <c r="B95" s="177" t="s">
        <v>565</v>
      </c>
      <c r="C95" s="177" t="s">
        <v>55</v>
      </c>
      <c r="D95" s="178" t="s">
        <v>56</v>
      </c>
      <c r="E95" s="177" t="s">
        <v>65</v>
      </c>
      <c r="F95" s="177"/>
      <c r="G95" s="180">
        <v>8</v>
      </c>
    </row>
    <row r="96" spans="1:7">
      <c r="A96" s="176">
        <v>91</v>
      </c>
      <c r="B96" s="177" t="s">
        <v>565</v>
      </c>
      <c r="C96" s="177" t="s">
        <v>55</v>
      </c>
      <c r="D96" s="178" t="s">
        <v>56</v>
      </c>
      <c r="E96" s="177" t="s">
        <v>57</v>
      </c>
      <c r="F96" s="177"/>
      <c r="G96" s="180">
        <v>4</v>
      </c>
    </row>
    <row r="97" spans="1:7">
      <c r="A97" s="176">
        <v>92</v>
      </c>
      <c r="B97" s="177" t="s">
        <v>41</v>
      </c>
      <c r="C97" s="177" t="s">
        <v>47</v>
      </c>
      <c r="D97" s="178" t="s">
        <v>48</v>
      </c>
      <c r="E97" s="177" t="s">
        <v>49</v>
      </c>
      <c r="F97" s="177"/>
      <c r="G97" s="180">
        <v>46</v>
      </c>
    </row>
    <row r="98" spans="1:7">
      <c r="A98" s="176">
        <v>93</v>
      </c>
      <c r="B98" s="177" t="s">
        <v>41</v>
      </c>
      <c r="C98" s="177" t="s">
        <v>50</v>
      </c>
      <c r="D98" s="178" t="s">
        <v>51</v>
      </c>
      <c r="E98" s="177" t="s">
        <v>86</v>
      </c>
      <c r="F98" s="177"/>
      <c r="G98" s="180">
        <v>5</v>
      </c>
    </row>
    <row r="99" spans="1:7">
      <c r="A99" s="176">
        <v>94</v>
      </c>
      <c r="B99" s="177" t="s">
        <v>41</v>
      </c>
      <c r="C99" s="177" t="s">
        <v>55</v>
      </c>
      <c r="D99" s="178" t="s">
        <v>56</v>
      </c>
      <c r="E99" s="177" t="s">
        <v>65</v>
      </c>
      <c r="F99" s="177"/>
      <c r="G99" s="180">
        <v>5</v>
      </c>
    </row>
    <row r="100" spans="1:7">
      <c r="A100" s="176">
        <v>95</v>
      </c>
      <c r="B100" s="177" t="s">
        <v>41</v>
      </c>
      <c r="C100" s="177" t="s">
        <v>151</v>
      </c>
      <c r="D100" s="178" t="s">
        <v>56</v>
      </c>
      <c r="E100" s="177" t="s">
        <v>152</v>
      </c>
      <c r="F100" s="177"/>
      <c r="G100" s="180">
        <v>1</v>
      </c>
    </row>
    <row r="101" spans="1:7">
      <c r="A101" s="176">
        <v>96</v>
      </c>
      <c r="B101" s="177" t="s">
        <v>566</v>
      </c>
      <c r="C101" s="177" t="s">
        <v>47</v>
      </c>
      <c r="D101" s="178" t="s">
        <v>48</v>
      </c>
      <c r="E101" s="177" t="s">
        <v>49</v>
      </c>
      <c r="F101" s="177"/>
      <c r="G101" s="180">
        <v>24</v>
      </c>
    </row>
    <row r="102" spans="1:7">
      <c r="A102" s="176">
        <v>97</v>
      </c>
      <c r="B102" s="177" t="s">
        <v>566</v>
      </c>
      <c r="C102" s="177" t="s">
        <v>53</v>
      </c>
      <c r="D102" s="178" t="s">
        <v>48</v>
      </c>
      <c r="E102" s="177" t="s">
        <v>54</v>
      </c>
      <c r="F102" s="177"/>
      <c r="G102" s="180">
        <v>1</v>
      </c>
    </row>
    <row r="103" spans="1:7">
      <c r="A103" s="176">
        <v>98</v>
      </c>
      <c r="B103" s="177" t="s">
        <v>566</v>
      </c>
      <c r="C103" s="177" t="s">
        <v>151</v>
      </c>
      <c r="D103" s="178" t="s">
        <v>56</v>
      </c>
      <c r="E103" s="177" t="s">
        <v>152</v>
      </c>
      <c r="F103" s="177"/>
      <c r="G103" s="180">
        <v>1</v>
      </c>
    </row>
    <row r="104" spans="1:7">
      <c r="A104" s="176">
        <v>99</v>
      </c>
      <c r="B104" s="177" t="s">
        <v>567</v>
      </c>
      <c r="C104" s="177" t="s">
        <v>47</v>
      </c>
      <c r="D104" s="178" t="s">
        <v>48</v>
      </c>
      <c r="E104" s="177" t="s">
        <v>49</v>
      </c>
      <c r="F104" s="177"/>
      <c r="G104" s="180">
        <v>19</v>
      </c>
    </row>
    <row r="105" spans="1:7">
      <c r="A105" s="176">
        <v>100</v>
      </c>
      <c r="B105" s="177" t="s">
        <v>567</v>
      </c>
      <c r="C105" s="177" t="s">
        <v>55</v>
      </c>
      <c r="D105" s="178" t="s">
        <v>56</v>
      </c>
      <c r="E105" s="177" t="s">
        <v>57</v>
      </c>
      <c r="F105" s="177"/>
      <c r="G105" s="180">
        <v>2</v>
      </c>
    </row>
    <row r="106" spans="1:7">
      <c r="A106" s="176">
        <v>101</v>
      </c>
      <c r="B106" s="177" t="s">
        <v>567</v>
      </c>
      <c r="C106" s="177" t="s">
        <v>151</v>
      </c>
      <c r="D106" s="178" t="s">
        <v>56</v>
      </c>
      <c r="E106" s="177" t="s">
        <v>152</v>
      </c>
      <c r="F106" s="177"/>
      <c r="G106" s="180">
        <v>1</v>
      </c>
    </row>
    <row r="107" spans="1:7">
      <c r="A107" s="176">
        <v>102</v>
      </c>
      <c r="B107" s="177" t="s">
        <v>568</v>
      </c>
      <c r="C107" s="177" t="s">
        <v>47</v>
      </c>
      <c r="D107" s="178" t="s">
        <v>48</v>
      </c>
      <c r="E107" s="177" t="s">
        <v>49</v>
      </c>
      <c r="F107" s="177"/>
      <c r="G107" s="180">
        <v>36</v>
      </c>
    </row>
    <row r="108" spans="1:7">
      <c r="A108" s="176">
        <v>103</v>
      </c>
      <c r="B108" s="177" t="s">
        <v>568</v>
      </c>
      <c r="C108" s="177" t="s">
        <v>53</v>
      </c>
      <c r="D108" s="178" t="s">
        <v>48</v>
      </c>
      <c r="E108" s="177" t="s">
        <v>54</v>
      </c>
      <c r="F108" s="177"/>
      <c r="G108" s="180">
        <v>2</v>
      </c>
    </row>
    <row r="109" spans="1:7">
      <c r="A109" s="176">
        <v>104</v>
      </c>
      <c r="B109" s="177" t="s">
        <v>568</v>
      </c>
      <c r="C109" s="177" t="s">
        <v>151</v>
      </c>
      <c r="D109" s="178" t="s">
        <v>56</v>
      </c>
      <c r="E109" s="177" t="s">
        <v>152</v>
      </c>
      <c r="F109" s="177"/>
      <c r="G109" s="180">
        <v>2</v>
      </c>
    </row>
    <row r="110" ht="14.25" spans="1:7">
      <c r="A110" s="182" t="s">
        <v>98</v>
      </c>
      <c r="B110" s="183"/>
      <c r="C110" s="183"/>
      <c r="D110" s="184"/>
      <c r="E110" s="183"/>
      <c r="F110" s="183"/>
      <c r="G110" s="185">
        <f>SUM(G6:G109)</f>
        <v>1825</v>
      </c>
    </row>
    <row r="111" ht="14.25"/>
    <row r="112" ht="26.25" spans="1:7">
      <c r="A112" s="26" t="s">
        <v>614</v>
      </c>
      <c r="B112" s="27"/>
      <c r="C112" s="27"/>
      <c r="D112" s="27"/>
      <c r="E112" s="27"/>
      <c r="F112" s="28"/>
      <c r="G112" s="29"/>
    </row>
    <row r="113" spans="1:7">
      <c r="A113" s="30" t="s">
        <v>1</v>
      </c>
      <c r="B113" s="4" t="s">
        <v>2</v>
      </c>
      <c r="C113" s="5"/>
      <c r="D113" s="31" t="s">
        <v>6</v>
      </c>
      <c r="E113" s="32" t="s">
        <v>6</v>
      </c>
      <c r="F113" s="31" t="s">
        <v>615</v>
      </c>
      <c r="G113" s="33" t="s">
        <v>4</v>
      </c>
    </row>
    <row r="114" ht="14.25" spans="1:7">
      <c r="A114" s="34" t="s">
        <v>17</v>
      </c>
      <c r="B114" s="35" t="s">
        <v>44</v>
      </c>
      <c r="C114" s="35" t="s">
        <v>45</v>
      </c>
      <c r="D114" s="35" t="s">
        <v>616</v>
      </c>
      <c r="E114" s="36" t="s">
        <v>21</v>
      </c>
      <c r="F114" s="37"/>
      <c r="G114" s="38" t="s">
        <v>617</v>
      </c>
    </row>
    <row r="115" spans="1:7">
      <c r="A115" s="186">
        <v>1</v>
      </c>
      <c r="B115" s="187" t="s">
        <v>618</v>
      </c>
      <c r="C115" s="187" t="s">
        <v>94</v>
      </c>
      <c r="D115" s="188">
        <v>1</v>
      </c>
      <c r="E115" s="188" t="s">
        <v>4</v>
      </c>
      <c r="F115" s="188"/>
      <c r="G115" s="189">
        <v>12.126</v>
      </c>
    </row>
    <row r="116" spans="1:7">
      <c r="A116" s="39">
        <v>2</v>
      </c>
      <c r="B116" s="40" t="s">
        <v>619</v>
      </c>
      <c r="C116" s="40" t="s">
        <v>94</v>
      </c>
      <c r="D116" s="16">
        <v>1</v>
      </c>
      <c r="E116" s="16" t="s">
        <v>4</v>
      </c>
      <c r="F116" s="16"/>
      <c r="G116" s="25">
        <v>34.4</v>
      </c>
    </row>
    <row r="117" spans="1:7">
      <c r="A117" s="176">
        <v>3</v>
      </c>
      <c r="B117" s="177" t="s">
        <v>620</v>
      </c>
      <c r="C117" s="177" t="s">
        <v>94</v>
      </c>
      <c r="D117" s="178">
        <v>1</v>
      </c>
      <c r="E117" s="177" t="s">
        <v>4</v>
      </c>
      <c r="F117" s="177"/>
      <c r="G117" s="180">
        <v>48.694</v>
      </c>
    </row>
    <row r="118" spans="1:7">
      <c r="A118" s="176">
        <v>4</v>
      </c>
      <c r="B118" s="177" t="s">
        <v>621</v>
      </c>
      <c r="C118" s="177" t="s">
        <v>94</v>
      </c>
      <c r="D118" s="178">
        <v>1</v>
      </c>
      <c r="E118" s="177" t="s">
        <v>4</v>
      </c>
      <c r="F118" s="177"/>
      <c r="G118" s="180">
        <v>77.082</v>
      </c>
    </row>
    <row r="119" spans="1:7">
      <c r="A119" s="176">
        <v>5</v>
      </c>
      <c r="B119" s="177" t="s">
        <v>622</v>
      </c>
      <c r="C119" s="177" t="s">
        <v>94</v>
      </c>
      <c r="D119" s="178">
        <v>1</v>
      </c>
      <c r="E119" s="177" t="s">
        <v>4</v>
      </c>
      <c r="F119" s="177"/>
      <c r="G119" s="180">
        <v>13.036</v>
      </c>
    </row>
    <row r="120" spans="1:7">
      <c r="A120" s="176">
        <v>6</v>
      </c>
      <c r="B120" s="177" t="s">
        <v>623</v>
      </c>
      <c r="C120" s="177" t="s">
        <v>94</v>
      </c>
      <c r="D120" s="178">
        <v>1</v>
      </c>
      <c r="E120" s="177" t="s">
        <v>4</v>
      </c>
      <c r="F120" s="177"/>
      <c r="G120" s="180">
        <v>18.72</v>
      </c>
    </row>
    <row r="121" spans="1:7">
      <c r="A121" s="176">
        <v>7</v>
      </c>
      <c r="B121" s="177" t="s">
        <v>624</v>
      </c>
      <c r="C121" s="177" t="s">
        <v>94</v>
      </c>
      <c r="D121" s="178">
        <v>1</v>
      </c>
      <c r="E121" s="177" t="s">
        <v>4</v>
      </c>
      <c r="F121" s="177"/>
      <c r="G121" s="180">
        <v>22.1383803701146</v>
      </c>
    </row>
    <row r="122" spans="1:7">
      <c r="A122" s="176">
        <v>8</v>
      </c>
      <c r="B122" s="177" t="s">
        <v>625</v>
      </c>
      <c r="C122" s="177" t="s">
        <v>94</v>
      </c>
      <c r="D122" s="178">
        <v>1</v>
      </c>
      <c r="E122" s="177" t="s">
        <v>4</v>
      </c>
      <c r="F122" s="177"/>
      <c r="G122" s="180">
        <v>4.59</v>
      </c>
    </row>
    <row r="123" spans="1:7">
      <c r="A123" s="176">
        <v>9</v>
      </c>
      <c r="B123" s="177" t="s">
        <v>626</v>
      </c>
      <c r="C123" s="177" t="s">
        <v>94</v>
      </c>
      <c r="D123" s="178">
        <v>1</v>
      </c>
      <c r="E123" s="177" t="s">
        <v>4</v>
      </c>
      <c r="F123" s="177"/>
      <c r="G123" s="180">
        <v>20.874</v>
      </c>
    </row>
    <row r="124" spans="1:7">
      <c r="A124" s="176">
        <v>10</v>
      </c>
      <c r="B124" s="177" t="s">
        <v>627</v>
      </c>
      <c r="C124" s="177" t="s">
        <v>94</v>
      </c>
      <c r="D124" s="178">
        <v>1</v>
      </c>
      <c r="E124" s="177" t="s">
        <v>4</v>
      </c>
      <c r="F124" s="177"/>
      <c r="G124" s="180">
        <v>6.174</v>
      </c>
    </row>
    <row r="125" spans="1:7">
      <c r="A125" s="176">
        <v>11</v>
      </c>
      <c r="B125" s="177" t="s">
        <v>628</v>
      </c>
      <c r="C125" s="177" t="s">
        <v>94</v>
      </c>
      <c r="D125" s="178">
        <v>1</v>
      </c>
      <c r="E125" s="177" t="s">
        <v>4</v>
      </c>
      <c r="F125" s="177"/>
      <c r="G125" s="180">
        <v>18.917</v>
      </c>
    </row>
    <row r="126" spans="1:7">
      <c r="A126" s="176">
        <v>12</v>
      </c>
      <c r="B126" s="177" t="s">
        <v>629</v>
      </c>
      <c r="C126" s="177" t="s">
        <v>94</v>
      </c>
      <c r="D126" s="178">
        <v>1</v>
      </c>
      <c r="E126" s="177" t="s">
        <v>4</v>
      </c>
      <c r="F126" s="177"/>
      <c r="G126" s="180">
        <v>34.129</v>
      </c>
    </row>
    <row r="127" spans="1:7">
      <c r="A127" s="176">
        <v>13</v>
      </c>
      <c r="B127" s="177" t="s">
        <v>630</v>
      </c>
      <c r="C127" s="177" t="s">
        <v>94</v>
      </c>
      <c r="D127" s="178">
        <v>1</v>
      </c>
      <c r="E127" s="177" t="s">
        <v>4</v>
      </c>
      <c r="F127" s="177"/>
      <c r="G127" s="180">
        <v>15.969</v>
      </c>
    </row>
    <row r="128" spans="1:7">
      <c r="A128" s="176">
        <v>14</v>
      </c>
      <c r="B128" s="177" t="s">
        <v>631</v>
      </c>
      <c r="C128" s="177" t="s">
        <v>94</v>
      </c>
      <c r="D128" s="178">
        <v>1</v>
      </c>
      <c r="E128" s="177" t="s">
        <v>4</v>
      </c>
      <c r="F128" s="177"/>
      <c r="G128" s="180">
        <v>6.151</v>
      </c>
    </row>
    <row r="129" spans="1:7">
      <c r="A129" s="176">
        <v>15</v>
      </c>
      <c r="B129" s="177" t="s">
        <v>632</v>
      </c>
      <c r="C129" s="177" t="s">
        <v>94</v>
      </c>
      <c r="D129" s="178">
        <v>1</v>
      </c>
      <c r="E129" s="177" t="s">
        <v>4</v>
      </c>
      <c r="F129" s="177"/>
      <c r="G129" s="180">
        <v>23.283</v>
      </c>
    </row>
    <row r="130" spans="1:7">
      <c r="A130" s="176">
        <v>16</v>
      </c>
      <c r="B130" s="177" t="s">
        <v>633</v>
      </c>
      <c r="C130" s="177" t="s">
        <v>94</v>
      </c>
      <c r="D130" s="178">
        <v>1</v>
      </c>
      <c r="E130" s="177" t="s">
        <v>4</v>
      </c>
      <c r="F130" s="177"/>
      <c r="G130" s="180">
        <v>47.715</v>
      </c>
    </row>
    <row r="131" spans="1:7">
      <c r="A131" s="176">
        <v>17</v>
      </c>
      <c r="B131" s="177" t="s">
        <v>634</v>
      </c>
      <c r="C131" s="177" t="s">
        <v>94</v>
      </c>
      <c r="D131" s="178">
        <v>1</v>
      </c>
      <c r="E131" s="177" t="s">
        <v>4</v>
      </c>
      <c r="F131" s="177"/>
      <c r="G131" s="180">
        <v>6.444</v>
      </c>
    </row>
    <row r="132" spans="1:7">
      <c r="A132" s="176">
        <v>18</v>
      </c>
      <c r="B132" s="177" t="s">
        <v>635</v>
      </c>
      <c r="C132" s="177" t="s">
        <v>94</v>
      </c>
      <c r="D132" s="178">
        <v>1</v>
      </c>
      <c r="E132" s="177" t="s">
        <v>4</v>
      </c>
      <c r="F132" s="177"/>
      <c r="G132" s="180">
        <v>27.24</v>
      </c>
    </row>
    <row r="133" spans="1:7">
      <c r="A133" s="176">
        <v>19</v>
      </c>
      <c r="B133" s="177" t="s">
        <v>636</v>
      </c>
      <c r="C133" s="177" t="s">
        <v>94</v>
      </c>
      <c r="D133" s="178">
        <v>1</v>
      </c>
      <c r="E133" s="177" t="s">
        <v>4</v>
      </c>
      <c r="F133" s="177"/>
      <c r="G133" s="180">
        <v>16.71</v>
      </c>
    </row>
    <row r="134" spans="1:7">
      <c r="A134" s="176">
        <v>20</v>
      </c>
      <c r="B134" s="177" t="s">
        <v>637</v>
      </c>
      <c r="C134" s="177" t="s">
        <v>94</v>
      </c>
      <c r="D134" s="178">
        <v>1</v>
      </c>
      <c r="E134" s="177" t="s">
        <v>4</v>
      </c>
      <c r="F134" s="177"/>
      <c r="G134" s="180">
        <v>38.346</v>
      </c>
    </row>
    <row r="135" spans="1:7">
      <c r="A135" s="176">
        <v>21</v>
      </c>
      <c r="B135" s="177" t="s">
        <v>638</v>
      </c>
      <c r="C135" s="177" t="s">
        <v>94</v>
      </c>
      <c r="D135" s="178">
        <v>1</v>
      </c>
      <c r="E135" s="177" t="s">
        <v>4</v>
      </c>
      <c r="F135" s="177"/>
      <c r="G135" s="180">
        <v>32.252</v>
      </c>
    </row>
    <row r="136" spans="1:7">
      <c r="A136" s="176">
        <v>22</v>
      </c>
      <c r="B136" s="177" t="s">
        <v>639</v>
      </c>
      <c r="C136" s="177" t="s">
        <v>94</v>
      </c>
      <c r="D136" s="178">
        <v>1</v>
      </c>
      <c r="E136" s="177" t="s">
        <v>4</v>
      </c>
      <c r="F136" s="177"/>
      <c r="G136" s="180">
        <v>40.146</v>
      </c>
    </row>
    <row r="137" spans="1:7">
      <c r="A137" s="176">
        <v>23</v>
      </c>
      <c r="B137" s="177" t="s">
        <v>640</v>
      </c>
      <c r="C137" s="177" t="s">
        <v>94</v>
      </c>
      <c r="D137" s="178">
        <v>1</v>
      </c>
      <c r="E137" s="177" t="s">
        <v>4</v>
      </c>
      <c r="F137" s="177"/>
      <c r="G137" s="180">
        <v>17.518</v>
      </c>
    </row>
    <row r="138" spans="1:7">
      <c r="A138" s="176">
        <v>24</v>
      </c>
      <c r="B138" s="177" t="s">
        <v>641</v>
      </c>
      <c r="C138" s="177" t="s">
        <v>94</v>
      </c>
      <c r="D138" s="178">
        <v>1</v>
      </c>
      <c r="E138" s="177" t="s">
        <v>4</v>
      </c>
      <c r="F138" s="177"/>
      <c r="G138" s="180">
        <v>43.326</v>
      </c>
    </row>
    <row r="139" spans="1:7">
      <c r="A139" s="176">
        <v>25</v>
      </c>
      <c r="B139" s="177" t="s">
        <v>642</v>
      </c>
      <c r="C139" s="177" t="s">
        <v>94</v>
      </c>
      <c r="D139" s="178">
        <v>1</v>
      </c>
      <c r="E139" s="177" t="s">
        <v>4</v>
      </c>
      <c r="F139" s="177"/>
      <c r="G139" s="180">
        <v>15.82</v>
      </c>
    </row>
    <row r="140" spans="1:7">
      <c r="A140" s="176">
        <v>26</v>
      </c>
      <c r="B140" s="177" t="s">
        <v>643</v>
      </c>
      <c r="C140" s="177" t="s">
        <v>94</v>
      </c>
      <c r="D140" s="178">
        <v>1</v>
      </c>
      <c r="E140" s="177" t="s">
        <v>4</v>
      </c>
      <c r="F140" s="177"/>
      <c r="G140" s="180">
        <v>62.372</v>
      </c>
    </row>
    <row r="141" spans="1:7">
      <c r="A141" s="176">
        <v>27</v>
      </c>
      <c r="B141" s="177" t="s">
        <v>644</v>
      </c>
      <c r="C141" s="177" t="s">
        <v>94</v>
      </c>
      <c r="D141" s="178">
        <v>1</v>
      </c>
      <c r="E141" s="177" t="s">
        <v>4</v>
      </c>
      <c r="F141" s="177"/>
      <c r="G141" s="180">
        <v>38.0768</v>
      </c>
    </row>
    <row r="142" spans="1:7">
      <c r="A142" s="176">
        <v>28</v>
      </c>
      <c r="B142" s="177" t="s">
        <v>645</v>
      </c>
      <c r="C142" s="177" t="s">
        <v>94</v>
      </c>
      <c r="D142" s="178">
        <v>1</v>
      </c>
      <c r="E142" s="177" t="s">
        <v>4</v>
      </c>
      <c r="F142" s="177"/>
      <c r="G142" s="180">
        <v>14.593</v>
      </c>
    </row>
    <row r="143" spans="1:7">
      <c r="A143" s="176">
        <v>29</v>
      </c>
      <c r="B143" s="177" t="s">
        <v>646</v>
      </c>
      <c r="C143" s="177" t="s">
        <v>94</v>
      </c>
      <c r="D143" s="178">
        <v>1</v>
      </c>
      <c r="E143" s="177" t="s">
        <v>4</v>
      </c>
      <c r="F143" s="177"/>
      <c r="G143" s="180">
        <v>34.367</v>
      </c>
    </row>
    <row r="144" spans="1:7">
      <c r="A144" s="176">
        <v>30</v>
      </c>
      <c r="B144" s="177" t="s">
        <v>647</v>
      </c>
      <c r="C144" s="177" t="s">
        <v>94</v>
      </c>
      <c r="D144" s="178">
        <v>1</v>
      </c>
      <c r="E144" s="177" t="s">
        <v>4</v>
      </c>
      <c r="F144" s="177"/>
      <c r="G144" s="180">
        <v>20.424</v>
      </c>
    </row>
    <row r="145" spans="1:7">
      <c r="A145" s="176">
        <v>31</v>
      </c>
      <c r="B145" s="177" t="s">
        <v>648</v>
      </c>
      <c r="C145" s="177" t="s">
        <v>94</v>
      </c>
      <c r="D145" s="178">
        <v>1</v>
      </c>
      <c r="E145" s="177" t="s">
        <v>4</v>
      </c>
      <c r="F145" s="177"/>
      <c r="G145" s="180">
        <v>22.986</v>
      </c>
    </row>
    <row r="146" spans="1:7">
      <c r="A146" s="176">
        <v>32</v>
      </c>
      <c r="B146" s="177" t="s">
        <v>649</v>
      </c>
      <c r="C146" s="177" t="s">
        <v>94</v>
      </c>
      <c r="D146" s="178">
        <v>1</v>
      </c>
      <c r="E146" s="177" t="s">
        <v>4</v>
      </c>
      <c r="F146" s="177"/>
      <c r="G146" s="180">
        <v>56.6</v>
      </c>
    </row>
    <row r="147" spans="1:7">
      <c r="A147" s="176">
        <v>33</v>
      </c>
      <c r="B147" s="177" t="s">
        <v>650</v>
      </c>
      <c r="C147" s="177" t="s">
        <v>94</v>
      </c>
      <c r="D147" s="178">
        <v>1</v>
      </c>
      <c r="E147" s="177" t="s">
        <v>4</v>
      </c>
      <c r="F147" s="177"/>
      <c r="G147" s="180">
        <v>64.412</v>
      </c>
    </row>
    <row r="148" spans="1:7">
      <c r="A148" s="176">
        <v>34</v>
      </c>
      <c r="B148" s="177" t="s">
        <v>651</v>
      </c>
      <c r="C148" s="177" t="s">
        <v>94</v>
      </c>
      <c r="D148" s="178">
        <v>1</v>
      </c>
      <c r="E148" s="177" t="s">
        <v>4</v>
      </c>
      <c r="F148" s="177"/>
      <c r="G148" s="180">
        <v>58.428</v>
      </c>
    </row>
    <row r="149" spans="1:7">
      <c r="A149" s="176">
        <v>35</v>
      </c>
      <c r="B149" s="177" t="s">
        <v>652</v>
      </c>
      <c r="C149" s="177" t="s">
        <v>94</v>
      </c>
      <c r="D149" s="178">
        <v>1</v>
      </c>
      <c r="E149" s="177" t="s">
        <v>4</v>
      </c>
      <c r="F149" s="177"/>
      <c r="G149" s="180">
        <v>26.576</v>
      </c>
    </row>
    <row r="150" spans="1:7">
      <c r="A150" s="176">
        <v>36</v>
      </c>
      <c r="B150" s="177" t="s">
        <v>653</v>
      </c>
      <c r="C150" s="177" t="s">
        <v>94</v>
      </c>
      <c r="D150" s="178">
        <v>1</v>
      </c>
      <c r="E150" s="177" t="s">
        <v>4</v>
      </c>
      <c r="F150" s="177"/>
      <c r="G150" s="180">
        <v>45.294</v>
      </c>
    </row>
    <row r="151" spans="1:7">
      <c r="A151" s="176">
        <v>37</v>
      </c>
      <c r="B151" s="177" t="s">
        <v>654</v>
      </c>
      <c r="C151" s="177" t="s">
        <v>94</v>
      </c>
      <c r="D151" s="178">
        <v>1</v>
      </c>
      <c r="E151" s="177" t="s">
        <v>4</v>
      </c>
      <c r="F151" s="177"/>
      <c r="G151" s="180">
        <v>79.166</v>
      </c>
    </row>
    <row r="152" spans="1:7">
      <c r="A152" s="176">
        <v>38</v>
      </c>
      <c r="B152" s="177" t="s">
        <v>655</v>
      </c>
      <c r="C152" s="177" t="s">
        <v>94</v>
      </c>
      <c r="D152" s="178">
        <v>1</v>
      </c>
      <c r="E152" s="177" t="s">
        <v>4</v>
      </c>
      <c r="F152" s="177"/>
      <c r="G152" s="180">
        <v>13.204</v>
      </c>
    </row>
    <row r="153" spans="1:7">
      <c r="A153" s="176">
        <v>39</v>
      </c>
      <c r="B153" s="177" t="s">
        <v>656</v>
      </c>
      <c r="C153" s="177" t="s">
        <v>94</v>
      </c>
      <c r="D153" s="178">
        <v>1</v>
      </c>
      <c r="E153" s="177" t="s">
        <v>4</v>
      </c>
      <c r="F153" s="177"/>
      <c r="G153" s="180">
        <v>19.08</v>
      </c>
    </row>
    <row r="154" spans="1:7">
      <c r="A154" s="176">
        <v>40</v>
      </c>
      <c r="B154" s="177" t="s">
        <v>657</v>
      </c>
      <c r="C154" s="177" t="s">
        <v>94</v>
      </c>
      <c r="D154" s="178">
        <v>1</v>
      </c>
      <c r="E154" s="177" t="s">
        <v>4</v>
      </c>
      <c r="F154" s="177"/>
      <c r="G154" s="180">
        <v>3.896</v>
      </c>
    </row>
    <row r="155" spans="1:7">
      <c r="A155" s="176">
        <v>41</v>
      </c>
      <c r="B155" s="177" t="s">
        <v>658</v>
      </c>
      <c r="C155" s="177" t="s">
        <v>94</v>
      </c>
      <c r="D155" s="178">
        <v>1</v>
      </c>
      <c r="E155" s="177" t="s">
        <v>4</v>
      </c>
      <c r="F155" s="177"/>
      <c r="G155" s="180">
        <v>12.748</v>
      </c>
    </row>
    <row r="156" spans="1:7">
      <c r="A156" s="176">
        <v>42</v>
      </c>
      <c r="B156" s="177" t="s">
        <v>659</v>
      </c>
      <c r="C156" s="177" t="s">
        <v>94</v>
      </c>
      <c r="D156" s="178">
        <v>1</v>
      </c>
      <c r="E156" s="177" t="s">
        <v>4</v>
      </c>
      <c r="F156" s="177"/>
      <c r="G156" s="180">
        <v>4.684</v>
      </c>
    </row>
    <row r="157" spans="1:7">
      <c r="A157" s="176">
        <v>43</v>
      </c>
      <c r="B157" s="177" t="s">
        <v>660</v>
      </c>
      <c r="C157" s="177" t="s">
        <v>94</v>
      </c>
      <c r="D157" s="178">
        <v>1</v>
      </c>
      <c r="E157" s="177" t="s">
        <v>4</v>
      </c>
      <c r="F157" s="177"/>
      <c r="G157" s="180">
        <v>11.0717268487978</v>
      </c>
    </row>
    <row r="158" spans="1:7">
      <c r="A158" s="176">
        <v>44</v>
      </c>
      <c r="B158" s="177" t="s">
        <v>661</v>
      </c>
      <c r="C158" s="177" t="s">
        <v>94</v>
      </c>
      <c r="D158" s="178">
        <v>1</v>
      </c>
      <c r="E158" s="177" t="s">
        <v>4</v>
      </c>
      <c r="F158" s="177"/>
      <c r="G158" s="180">
        <v>7.532</v>
      </c>
    </row>
    <row r="159" spans="1:7">
      <c r="A159" s="176">
        <v>45</v>
      </c>
      <c r="B159" s="177" t="s">
        <v>662</v>
      </c>
      <c r="C159" s="177" t="s">
        <v>94</v>
      </c>
      <c r="D159" s="178">
        <v>1</v>
      </c>
      <c r="E159" s="177" t="s">
        <v>4</v>
      </c>
      <c r="F159" s="177"/>
      <c r="G159" s="180">
        <v>23.302</v>
      </c>
    </row>
    <row r="160" ht="14.25" spans="1:7">
      <c r="A160" s="182" t="s">
        <v>98</v>
      </c>
      <c r="B160" s="183"/>
      <c r="C160" s="183"/>
      <c r="D160" s="184"/>
      <c r="E160" s="183"/>
      <c r="F160" s="183"/>
      <c r="G160" s="185">
        <f>SUM(G115:G159)</f>
        <v>1260.61290721891</v>
      </c>
    </row>
  </sheetData>
  <mergeCells count="159">
    <mergeCell ref="A1:G1"/>
    <mergeCell ref="B2:C2"/>
    <mergeCell ref="B3:C3"/>
    <mergeCell ref="B4:C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A110:F110"/>
    <mergeCell ref="A112:G112"/>
    <mergeCell ref="B113:C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A160:F160"/>
  </mergeCells>
  <pageMargins left="0.393700787401575" right="0.393700787401575" top="0.590551181102362" bottom="0.590551181102362" header="0.31496062992126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9"/>
  </sheetPr>
  <dimension ref="A1:K461"/>
  <sheetViews>
    <sheetView zoomScale="110" zoomScaleNormal="110" workbookViewId="0">
      <selection activeCell="F9" sqref="F9"/>
    </sheetView>
  </sheetViews>
  <sheetFormatPr defaultColWidth="9" defaultRowHeight="14.25"/>
  <cols>
    <col min="1" max="1" width="4.63333333333333" style="123" customWidth="1"/>
    <col min="2" max="3" width="15.6333333333333" style="124" customWidth="1"/>
    <col min="4" max="4" width="7.63333333333333" style="125" customWidth="1"/>
    <col min="5" max="5" width="12.6333333333333" style="125" customWidth="1"/>
    <col min="6" max="6" width="8.36666666666667" style="123" customWidth="1"/>
    <col min="7" max="7" width="7.63333333333333" style="123" customWidth="1"/>
    <col min="8" max="10" width="5.63333333333333" style="123" customWidth="1"/>
    <col min="11" max="11" width="6.63333333333333" style="123" customWidth="1"/>
    <col min="12" max="243" width="9" style="124" customWidth="1"/>
    <col min="244" max="244" width="11.6333333333333" style="124" customWidth="1"/>
    <col min="245" max="245" width="14" style="124" customWidth="1"/>
    <col min="246" max="246" width="23" style="124" customWidth="1"/>
    <col min="247" max="247" width="5.36666666666667" style="124" customWidth="1"/>
    <col min="248" max="248" width="7.5" style="124" customWidth="1"/>
    <col min="249" max="249" width="4.86666666666667" style="124" customWidth="1"/>
    <col min="250" max="250" width="7.5" style="124" customWidth="1"/>
    <col min="251" max="251" width="11.225" style="124" customWidth="1"/>
    <col min="252" max="252" width="11.725" style="124" customWidth="1"/>
    <col min="253" max="499" width="9" style="124" customWidth="1"/>
    <col min="500" max="500" width="11.6333333333333" style="124" customWidth="1"/>
    <col min="501" max="501" width="14" style="124" customWidth="1"/>
    <col min="502" max="502" width="23" style="124" customWidth="1"/>
    <col min="503" max="503" width="5.36666666666667" style="124" customWidth="1"/>
    <col min="504" max="504" width="7.5" style="124" customWidth="1"/>
    <col min="505" max="505" width="4.86666666666667" style="124" customWidth="1"/>
    <col min="506" max="506" width="7.5" style="124" customWidth="1"/>
    <col min="507" max="507" width="11.225" style="124" customWidth="1"/>
    <col min="508" max="508" width="11.725" style="124" customWidth="1"/>
    <col min="509" max="755" width="9" style="124" customWidth="1"/>
    <col min="756" max="756" width="11.6333333333333" style="124" customWidth="1"/>
    <col min="757" max="757" width="14" style="124" customWidth="1"/>
    <col min="758" max="758" width="23" style="124" customWidth="1"/>
    <col min="759" max="759" width="5.36666666666667" style="124" customWidth="1"/>
    <col min="760" max="760" width="7.5" style="124" customWidth="1"/>
    <col min="761" max="761" width="4.86666666666667" style="124" customWidth="1"/>
    <col min="762" max="762" width="7.5" style="124" customWidth="1"/>
    <col min="763" max="763" width="11.225" style="124" customWidth="1"/>
    <col min="764" max="764" width="11.725" style="124" customWidth="1"/>
    <col min="765" max="1011" width="9" style="124" customWidth="1"/>
    <col min="1012" max="1012" width="11.6333333333333" style="124" customWidth="1"/>
    <col min="1013" max="1013" width="14" style="124" customWidth="1"/>
    <col min="1014" max="1014" width="23" style="124" customWidth="1"/>
    <col min="1015" max="1015" width="5.36666666666667" style="124" customWidth="1"/>
    <col min="1016" max="1016" width="7.5" style="124" customWidth="1"/>
    <col min="1017" max="1017" width="4.86666666666667" style="124" customWidth="1"/>
    <col min="1018" max="1018" width="7.5" style="124" customWidth="1"/>
    <col min="1019" max="1019" width="11.225" style="124" customWidth="1"/>
    <col min="1020" max="1020" width="11.725" style="124" customWidth="1"/>
    <col min="1021" max="1267" width="9" style="124" customWidth="1"/>
    <col min="1268" max="1268" width="11.6333333333333" style="124" customWidth="1"/>
    <col min="1269" max="1269" width="14" style="124" customWidth="1"/>
    <col min="1270" max="1270" width="23" style="124" customWidth="1"/>
    <col min="1271" max="1271" width="5.36666666666667" style="124" customWidth="1"/>
    <col min="1272" max="1272" width="7.5" style="124" customWidth="1"/>
    <col min="1273" max="1273" width="4.86666666666667" style="124" customWidth="1"/>
    <col min="1274" max="1274" width="7.5" style="124" customWidth="1"/>
    <col min="1275" max="1275" width="11.225" style="124" customWidth="1"/>
    <col min="1276" max="1276" width="11.725" style="124" customWidth="1"/>
    <col min="1277" max="1523" width="9" style="124" customWidth="1"/>
    <col min="1524" max="1524" width="11.6333333333333" style="124" customWidth="1"/>
    <col min="1525" max="1525" width="14" style="124" customWidth="1"/>
    <col min="1526" max="1526" width="23" style="124" customWidth="1"/>
    <col min="1527" max="1527" width="5.36666666666667" style="124" customWidth="1"/>
    <col min="1528" max="1528" width="7.5" style="124" customWidth="1"/>
    <col min="1529" max="1529" width="4.86666666666667" style="124" customWidth="1"/>
    <col min="1530" max="1530" width="7.5" style="124" customWidth="1"/>
    <col min="1531" max="1531" width="11.225" style="124" customWidth="1"/>
    <col min="1532" max="1532" width="11.725" style="124" customWidth="1"/>
    <col min="1533" max="1779" width="9" style="124" customWidth="1"/>
    <col min="1780" max="1780" width="11.6333333333333" style="124" customWidth="1"/>
    <col min="1781" max="1781" width="14" style="124" customWidth="1"/>
    <col min="1782" max="1782" width="23" style="124" customWidth="1"/>
    <col min="1783" max="1783" width="5.36666666666667" style="124" customWidth="1"/>
    <col min="1784" max="1784" width="7.5" style="124" customWidth="1"/>
    <col min="1785" max="1785" width="4.86666666666667" style="124" customWidth="1"/>
    <col min="1786" max="1786" width="7.5" style="124" customWidth="1"/>
    <col min="1787" max="1787" width="11.225" style="124" customWidth="1"/>
    <col min="1788" max="1788" width="11.725" style="124" customWidth="1"/>
    <col min="1789" max="2035" width="9" style="124" customWidth="1"/>
    <col min="2036" max="2036" width="11.6333333333333" style="124" customWidth="1"/>
    <col min="2037" max="2037" width="14" style="124" customWidth="1"/>
    <col min="2038" max="2038" width="23" style="124" customWidth="1"/>
    <col min="2039" max="2039" width="5.36666666666667" style="124" customWidth="1"/>
    <col min="2040" max="2040" width="7.5" style="124" customWidth="1"/>
    <col min="2041" max="2041" width="4.86666666666667" style="124" customWidth="1"/>
    <col min="2042" max="2042" width="7.5" style="124" customWidth="1"/>
    <col min="2043" max="2043" width="11.225" style="124" customWidth="1"/>
    <col min="2044" max="2044" width="11.725" style="124" customWidth="1"/>
    <col min="2045" max="2291" width="9" style="124" customWidth="1"/>
    <col min="2292" max="2292" width="11.6333333333333" style="124" customWidth="1"/>
    <col min="2293" max="2293" width="14" style="124" customWidth="1"/>
    <col min="2294" max="2294" width="23" style="124" customWidth="1"/>
    <col min="2295" max="2295" width="5.36666666666667" style="124" customWidth="1"/>
    <col min="2296" max="2296" width="7.5" style="124" customWidth="1"/>
    <col min="2297" max="2297" width="4.86666666666667" style="124" customWidth="1"/>
    <col min="2298" max="2298" width="7.5" style="124" customWidth="1"/>
    <col min="2299" max="2299" width="11.225" style="124" customWidth="1"/>
    <col min="2300" max="2300" width="11.725" style="124" customWidth="1"/>
    <col min="2301" max="2547" width="9" style="124" customWidth="1"/>
    <col min="2548" max="2548" width="11.6333333333333" style="124" customWidth="1"/>
    <col min="2549" max="2549" width="14" style="124" customWidth="1"/>
    <col min="2550" max="2550" width="23" style="124" customWidth="1"/>
    <col min="2551" max="2551" width="5.36666666666667" style="124" customWidth="1"/>
    <col min="2552" max="2552" width="7.5" style="124" customWidth="1"/>
    <col min="2553" max="2553" width="4.86666666666667" style="124" customWidth="1"/>
    <col min="2554" max="2554" width="7.5" style="124" customWidth="1"/>
    <col min="2555" max="2555" width="11.225" style="124" customWidth="1"/>
    <col min="2556" max="2556" width="11.725" style="124" customWidth="1"/>
    <col min="2557" max="2803" width="9" style="124" customWidth="1"/>
    <col min="2804" max="2804" width="11.6333333333333" style="124" customWidth="1"/>
    <col min="2805" max="2805" width="14" style="124" customWidth="1"/>
    <col min="2806" max="2806" width="23" style="124" customWidth="1"/>
    <col min="2807" max="2807" width="5.36666666666667" style="124" customWidth="1"/>
    <col min="2808" max="2808" width="7.5" style="124" customWidth="1"/>
    <col min="2809" max="2809" width="4.86666666666667" style="124" customWidth="1"/>
    <col min="2810" max="2810" width="7.5" style="124" customWidth="1"/>
    <col min="2811" max="2811" width="11.225" style="124" customWidth="1"/>
    <col min="2812" max="2812" width="11.725" style="124" customWidth="1"/>
    <col min="2813" max="3059" width="9" style="124" customWidth="1"/>
    <col min="3060" max="3060" width="11.6333333333333" style="124" customWidth="1"/>
    <col min="3061" max="3061" width="14" style="124" customWidth="1"/>
    <col min="3062" max="3062" width="23" style="124" customWidth="1"/>
    <col min="3063" max="3063" width="5.36666666666667" style="124" customWidth="1"/>
    <col min="3064" max="3064" width="7.5" style="124" customWidth="1"/>
    <col min="3065" max="3065" width="4.86666666666667" style="124" customWidth="1"/>
    <col min="3066" max="3066" width="7.5" style="124" customWidth="1"/>
    <col min="3067" max="3067" width="11.225" style="124" customWidth="1"/>
    <col min="3068" max="3068" width="11.725" style="124" customWidth="1"/>
    <col min="3069" max="3315" width="9" style="124" customWidth="1"/>
    <col min="3316" max="3316" width="11.6333333333333" style="124" customWidth="1"/>
    <col min="3317" max="3317" width="14" style="124" customWidth="1"/>
    <col min="3318" max="3318" width="23" style="124" customWidth="1"/>
    <col min="3319" max="3319" width="5.36666666666667" style="124" customWidth="1"/>
    <col min="3320" max="3320" width="7.5" style="124" customWidth="1"/>
    <col min="3321" max="3321" width="4.86666666666667" style="124" customWidth="1"/>
    <col min="3322" max="3322" width="7.5" style="124" customWidth="1"/>
    <col min="3323" max="3323" width="11.225" style="124" customWidth="1"/>
    <col min="3324" max="3324" width="11.725" style="124" customWidth="1"/>
    <col min="3325" max="3571" width="9" style="124" customWidth="1"/>
    <col min="3572" max="3572" width="11.6333333333333" style="124" customWidth="1"/>
    <col min="3573" max="3573" width="14" style="124" customWidth="1"/>
    <col min="3574" max="3574" width="23" style="124" customWidth="1"/>
    <col min="3575" max="3575" width="5.36666666666667" style="124" customWidth="1"/>
    <col min="3576" max="3576" width="7.5" style="124" customWidth="1"/>
    <col min="3577" max="3577" width="4.86666666666667" style="124" customWidth="1"/>
    <col min="3578" max="3578" width="7.5" style="124" customWidth="1"/>
    <col min="3579" max="3579" width="11.225" style="124" customWidth="1"/>
    <col min="3580" max="3580" width="11.725" style="124" customWidth="1"/>
    <col min="3581" max="3827" width="9" style="124" customWidth="1"/>
    <col min="3828" max="3828" width="11.6333333333333" style="124" customWidth="1"/>
    <col min="3829" max="3829" width="14" style="124" customWidth="1"/>
    <col min="3830" max="3830" width="23" style="124" customWidth="1"/>
    <col min="3831" max="3831" width="5.36666666666667" style="124" customWidth="1"/>
    <col min="3832" max="3832" width="7.5" style="124" customWidth="1"/>
    <col min="3833" max="3833" width="4.86666666666667" style="124" customWidth="1"/>
    <col min="3834" max="3834" width="7.5" style="124" customWidth="1"/>
    <col min="3835" max="3835" width="11.225" style="124" customWidth="1"/>
    <col min="3836" max="3836" width="11.725" style="124" customWidth="1"/>
    <col min="3837" max="4083" width="9" style="124" customWidth="1"/>
    <col min="4084" max="4084" width="11.6333333333333" style="124" customWidth="1"/>
    <col min="4085" max="4085" width="14" style="124" customWidth="1"/>
    <col min="4086" max="4086" width="23" style="124" customWidth="1"/>
    <col min="4087" max="4087" width="5.36666666666667" style="124" customWidth="1"/>
    <col min="4088" max="4088" width="7.5" style="124" customWidth="1"/>
    <col min="4089" max="4089" width="4.86666666666667" style="124" customWidth="1"/>
    <col min="4090" max="4090" width="7.5" style="124" customWidth="1"/>
    <col min="4091" max="4091" width="11.225" style="124" customWidth="1"/>
    <col min="4092" max="4092" width="11.725" style="124" customWidth="1"/>
    <col min="4093" max="4339" width="9" style="124" customWidth="1"/>
    <col min="4340" max="4340" width="11.6333333333333" style="124" customWidth="1"/>
    <col min="4341" max="4341" width="14" style="124" customWidth="1"/>
    <col min="4342" max="4342" width="23" style="124" customWidth="1"/>
    <col min="4343" max="4343" width="5.36666666666667" style="124" customWidth="1"/>
    <col min="4344" max="4344" width="7.5" style="124" customWidth="1"/>
    <col min="4345" max="4345" width="4.86666666666667" style="124" customWidth="1"/>
    <col min="4346" max="4346" width="7.5" style="124" customWidth="1"/>
    <col min="4347" max="4347" width="11.225" style="124" customWidth="1"/>
    <col min="4348" max="4348" width="11.725" style="124" customWidth="1"/>
    <col min="4349" max="4595" width="9" style="124" customWidth="1"/>
    <col min="4596" max="4596" width="11.6333333333333" style="124" customWidth="1"/>
    <col min="4597" max="4597" width="14" style="124" customWidth="1"/>
    <col min="4598" max="4598" width="23" style="124" customWidth="1"/>
    <col min="4599" max="4599" width="5.36666666666667" style="124" customWidth="1"/>
    <col min="4600" max="4600" width="7.5" style="124" customWidth="1"/>
    <col min="4601" max="4601" width="4.86666666666667" style="124" customWidth="1"/>
    <col min="4602" max="4602" width="7.5" style="124" customWidth="1"/>
    <col min="4603" max="4603" width="11.225" style="124" customWidth="1"/>
    <col min="4604" max="4604" width="11.725" style="124" customWidth="1"/>
    <col min="4605" max="4851" width="9" style="124" customWidth="1"/>
    <col min="4852" max="4852" width="11.6333333333333" style="124" customWidth="1"/>
    <col min="4853" max="4853" width="14" style="124" customWidth="1"/>
    <col min="4854" max="4854" width="23" style="124" customWidth="1"/>
    <col min="4855" max="4855" width="5.36666666666667" style="124" customWidth="1"/>
    <col min="4856" max="4856" width="7.5" style="124" customWidth="1"/>
    <col min="4857" max="4857" width="4.86666666666667" style="124" customWidth="1"/>
    <col min="4858" max="4858" width="7.5" style="124" customWidth="1"/>
    <col min="4859" max="4859" width="11.225" style="124" customWidth="1"/>
    <col min="4860" max="4860" width="11.725" style="124" customWidth="1"/>
    <col min="4861" max="5107" width="9" style="124" customWidth="1"/>
    <col min="5108" max="5108" width="11.6333333333333" style="124" customWidth="1"/>
    <col min="5109" max="5109" width="14" style="124" customWidth="1"/>
    <col min="5110" max="5110" width="23" style="124" customWidth="1"/>
    <col min="5111" max="5111" width="5.36666666666667" style="124" customWidth="1"/>
    <col min="5112" max="5112" width="7.5" style="124" customWidth="1"/>
    <col min="5113" max="5113" width="4.86666666666667" style="124" customWidth="1"/>
    <col min="5114" max="5114" width="7.5" style="124" customWidth="1"/>
    <col min="5115" max="5115" width="11.225" style="124" customWidth="1"/>
    <col min="5116" max="5116" width="11.725" style="124" customWidth="1"/>
    <col min="5117" max="5363" width="9" style="124" customWidth="1"/>
    <col min="5364" max="5364" width="11.6333333333333" style="124" customWidth="1"/>
    <col min="5365" max="5365" width="14" style="124" customWidth="1"/>
    <col min="5366" max="5366" width="23" style="124" customWidth="1"/>
    <col min="5367" max="5367" width="5.36666666666667" style="124" customWidth="1"/>
    <col min="5368" max="5368" width="7.5" style="124" customWidth="1"/>
    <col min="5369" max="5369" width="4.86666666666667" style="124" customWidth="1"/>
    <col min="5370" max="5370" width="7.5" style="124" customWidth="1"/>
    <col min="5371" max="5371" width="11.225" style="124" customWidth="1"/>
    <col min="5372" max="5372" width="11.725" style="124" customWidth="1"/>
    <col min="5373" max="5619" width="9" style="124" customWidth="1"/>
    <col min="5620" max="5620" width="11.6333333333333" style="124" customWidth="1"/>
    <col min="5621" max="5621" width="14" style="124" customWidth="1"/>
    <col min="5622" max="5622" width="23" style="124" customWidth="1"/>
    <col min="5623" max="5623" width="5.36666666666667" style="124" customWidth="1"/>
    <col min="5624" max="5624" width="7.5" style="124" customWidth="1"/>
    <col min="5625" max="5625" width="4.86666666666667" style="124" customWidth="1"/>
    <col min="5626" max="5626" width="7.5" style="124" customWidth="1"/>
    <col min="5627" max="5627" width="11.225" style="124" customWidth="1"/>
    <col min="5628" max="5628" width="11.725" style="124" customWidth="1"/>
    <col min="5629" max="5875" width="9" style="124" customWidth="1"/>
    <col min="5876" max="5876" width="11.6333333333333" style="124" customWidth="1"/>
    <col min="5877" max="5877" width="14" style="124" customWidth="1"/>
    <col min="5878" max="5878" width="23" style="124" customWidth="1"/>
    <col min="5879" max="5879" width="5.36666666666667" style="124" customWidth="1"/>
    <col min="5880" max="5880" width="7.5" style="124" customWidth="1"/>
    <col min="5881" max="5881" width="4.86666666666667" style="124" customWidth="1"/>
    <col min="5882" max="5882" width="7.5" style="124" customWidth="1"/>
    <col min="5883" max="5883" width="11.225" style="124" customWidth="1"/>
    <col min="5884" max="5884" width="11.725" style="124" customWidth="1"/>
    <col min="5885" max="6131" width="9" style="124" customWidth="1"/>
    <col min="6132" max="6132" width="11.6333333333333" style="124" customWidth="1"/>
    <col min="6133" max="6133" width="14" style="124" customWidth="1"/>
    <col min="6134" max="6134" width="23" style="124" customWidth="1"/>
    <col min="6135" max="6135" width="5.36666666666667" style="124" customWidth="1"/>
    <col min="6136" max="6136" width="7.5" style="124" customWidth="1"/>
    <col min="6137" max="6137" width="4.86666666666667" style="124" customWidth="1"/>
    <col min="6138" max="6138" width="7.5" style="124" customWidth="1"/>
    <col min="6139" max="6139" width="11.225" style="124" customWidth="1"/>
    <col min="6140" max="6140" width="11.725" style="124" customWidth="1"/>
    <col min="6141" max="6387" width="9" style="124" customWidth="1"/>
    <col min="6388" max="6388" width="11.6333333333333" style="124" customWidth="1"/>
    <col min="6389" max="6389" width="14" style="124" customWidth="1"/>
    <col min="6390" max="6390" width="23" style="124" customWidth="1"/>
    <col min="6391" max="6391" width="5.36666666666667" style="124" customWidth="1"/>
    <col min="6392" max="6392" width="7.5" style="124" customWidth="1"/>
    <col min="6393" max="6393" width="4.86666666666667" style="124" customWidth="1"/>
    <col min="6394" max="6394" width="7.5" style="124" customWidth="1"/>
    <col min="6395" max="6395" width="11.225" style="124" customWidth="1"/>
    <col min="6396" max="6396" width="11.725" style="124" customWidth="1"/>
    <col min="6397" max="6643" width="9" style="124" customWidth="1"/>
    <col min="6644" max="6644" width="11.6333333333333" style="124" customWidth="1"/>
    <col min="6645" max="6645" width="14" style="124" customWidth="1"/>
    <col min="6646" max="6646" width="23" style="124" customWidth="1"/>
    <col min="6647" max="6647" width="5.36666666666667" style="124" customWidth="1"/>
    <col min="6648" max="6648" width="7.5" style="124" customWidth="1"/>
    <col min="6649" max="6649" width="4.86666666666667" style="124" customWidth="1"/>
    <col min="6650" max="6650" width="7.5" style="124" customWidth="1"/>
    <col min="6651" max="6651" width="11.225" style="124" customWidth="1"/>
    <col min="6652" max="6652" width="11.725" style="124" customWidth="1"/>
    <col min="6653" max="6899" width="9" style="124" customWidth="1"/>
    <col min="6900" max="6900" width="11.6333333333333" style="124" customWidth="1"/>
    <col min="6901" max="6901" width="14" style="124" customWidth="1"/>
    <col min="6902" max="6902" width="23" style="124" customWidth="1"/>
    <col min="6903" max="6903" width="5.36666666666667" style="124" customWidth="1"/>
    <col min="6904" max="6904" width="7.5" style="124" customWidth="1"/>
    <col min="6905" max="6905" width="4.86666666666667" style="124" customWidth="1"/>
    <col min="6906" max="6906" width="7.5" style="124" customWidth="1"/>
    <col min="6907" max="6907" width="11.225" style="124" customWidth="1"/>
    <col min="6908" max="6908" width="11.725" style="124" customWidth="1"/>
    <col min="6909" max="7155" width="9" style="124" customWidth="1"/>
    <col min="7156" max="7156" width="11.6333333333333" style="124" customWidth="1"/>
    <col min="7157" max="7157" width="14" style="124" customWidth="1"/>
    <col min="7158" max="7158" width="23" style="124" customWidth="1"/>
    <col min="7159" max="7159" width="5.36666666666667" style="124" customWidth="1"/>
    <col min="7160" max="7160" width="7.5" style="124" customWidth="1"/>
    <col min="7161" max="7161" width="4.86666666666667" style="124" customWidth="1"/>
    <col min="7162" max="7162" width="7.5" style="124" customWidth="1"/>
    <col min="7163" max="7163" width="11.225" style="124" customWidth="1"/>
    <col min="7164" max="7164" width="11.725" style="124" customWidth="1"/>
    <col min="7165" max="7411" width="9" style="124" customWidth="1"/>
    <col min="7412" max="7412" width="11.6333333333333" style="124" customWidth="1"/>
    <col min="7413" max="7413" width="14" style="124" customWidth="1"/>
    <col min="7414" max="7414" width="23" style="124" customWidth="1"/>
    <col min="7415" max="7415" width="5.36666666666667" style="124" customWidth="1"/>
    <col min="7416" max="7416" width="7.5" style="124" customWidth="1"/>
    <col min="7417" max="7417" width="4.86666666666667" style="124" customWidth="1"/>
    <col min="7418" max="7418" width="7.5" style="124" customWidth="1"/>
    <col min="7419" max="7419" width="11.225" style="124" customWidth="1"/>
    <col min="7420" max="7420" width="11.725" style="124" customWidth="1"/>
    <col min="7421" max="7667" width="9" style="124" customWidth="1"/>
    <col min="7668" max="7668" width="11.6333333333333" style="124" customWidth="1"/>
    <col min="7669" max="7669" width="14" style="124" customWidth="1"/>
    <col min="7670" max="7670" width="23" style="124" customWidth="1"/>
    <col min="7671" max="7671" width="5.36666666666667" style="124" customWidth="1"/>
    <col min="7672" max="7672" width="7.5" style="124" customWidth="1"/>
    <col min="7673" max="7673" width="4.86666666666667" style="124" customWidth="1"/>
    <col min="7674" max="7674" width="7.5" style="124" customWidth="1"/>
    <col min="7675" max="7675" width="11.225" style="124" customWidth="1"/>
    <col min="7676" max="7676" width="11.725" style="124" customWidth="1"/>
    <col min="7677" max="7923" width="9" style="124" customWidth="1"/>
    <col min="7924" max="7924" width="11.6333333333333" style="124" customWidth="1"/>
    <col min="7925" max="7925" width="14" style="124" customWidth="1"/>
    <col min="7926" max="7926" width="23" style="124" customWidth="1"/>
    <col min="7927" max="7927" width="5.36666666666667" style="124" customWidth="1"/>
    <col min="7928" max="7928" width="7.5" style="124" customWidth="1"/>
    <col min="7929" max="7929" width="4.86666666666667" style="124" customWidth="1"/>
    <col min="7930" max="7930" width="7.5" style="124" customWidth="1"/>
    <col min="7931" max="7931" width="11.225" style="124" customWidth="1"/>
    <col min="7932" max="7932" width="11.725" style="124" customWidth="1"/>
    <col min="7933" max="8179" width="9" style="124" customWidth="1"/>
    <col min="8180" max="8180" width="11.6333333333333" style="124" customWidth="1"/>
    <col min="8181" max="8181" width="14" style="124" customWidth="1"/>
    <col min="8182" max="8182" width="23" style="124" customWidth="1"/>
    <col min="8183" max="8183" width="5.36666666666667" style="124" customWidth="1"/>
    <col min="8184" max="8184" width="7.5" style="124" customWidth="1"/>
    <col min="8185" max="8185" width="4.86666666666667" style="124" customWidth="1"/>
    <col min="8186" max="8186" width="7.5" style="124" customWidth="1"/>
    <col min="8187" max="8187" width="11.225" style="124" customWidth="1"/>
    <col min="8188" max="8188" width="11.725" style="124" customWidth="1"/>
    <col min="8189" max="8435" width="9" style="124" customWidth="1"/>
    <col min="8436" max="8436" width="11.6333333333333" style="124" customWidth="1"/>
    <col min="8437" max="8437" width="14" style="124" customWidth="1"/>
    <col min="8438" max="8438" width="23" style="124" customWidth="1"/>
    <col min="8439" max="8439" width="5.36666666666667" style="124" customWidth="1"/>
    <col min="8440" max="8440" width="7.5" style="124" customWidth="1"/>
    <col min="8441" max="8441" width="4.86666666666667" style="124" customWidth="1"/>
    <col min="8442" max="8442" width="7.5" style="124" customWidth="1"/>
    <col min="8443" max="8443" width="11.225" style="124" customWidth="1"/>
    <col min="8444" max="8444" width="11.725" style="124" customWidth="1"/>
    <col min="8445" max="8691" width="9" style="124" customWidth="1"/>
    <col min="8692" max="8692" width="11.6333333333333" style="124" customWidth="1"/>
    <col min="8693" max="8693" width="14" style="124" customWidth="1"/>
    <col min="8694" max="8694" width="23" style="124" customWidth="1"/>
    <col min="8695" max="8695" width="5.36666666666667" style="124" customWidth="1"/>
    <col min="8696" max="8696" width="7.5" style="124" customWidth="1"/>
    <col min="8697" max="8697" width="4.86666666666667" style="124" customWidth="1"/>
    <col min="8698" max="8698" width="7.5" style="124" customWidth="1"/>
    <col min="8699" max="8699" width="11.225" style="124" customWidth="1"/>
    <col min="8700" max="8700" width="11.725" style="124" customWidth="1"/>
    <col min="8701" max="8947" width="9" style="124" customWidth="1"/>
    <col min="8948" max="8948" width="11.6333333333333" style="124" customWidth="1"/>
    <col min="8949" max="8949" width="14" style="124" customWidth="1"/>
    <col min="8950" max="8950" width="23" style="124" customWidth="1"/>
    <col min="8951" max="8951" width="5.36666666666667" style="124" customWidth="1"/>
    <col min="8952" max="8952" width="7.5" style="124" customWidth="1"/>
    <col min="8953" max="8953" width="4.86666666666667" style="124" customWidth="1"/>
    <col min="8954" max="8954" width="7.5" style="124" customWidth="1"/>
    <col min="8955" max="8955" width="11.225" style="124" customWidth="1"/>
    <col min="8956" max="8956" width="11.725" style="124" customWidth="1"/>
    <col min="8957" max="9203" width="9" style="124" customWidth="1"/>
    <col min="9204" max="9204" width="11.6333333333333" style="124" customWidth="1"/>
    <col min="9205" max="9205" width="14" style="124" customWidth="1"/>
    <col min="9206" max="9206" width="23" style="124" customWidth="1"/>
    <col min="9207" max="9207" width="5.36666666666667" style="124" customWidth="1"/>
    <col min="9208" max="9208" width="7.5" style="124" customWidth="1"/>
    <col min="9209" max="9209" width="4.86666666666667" style="124" customWidth="1"/>
    <col min="9210" max="9210" width="7.5" style="124" customWidth="1"/>
    <col min="9211" max="9211" width="11.225" style="124" customWidth="1"/>
    <col min="9212" max="9212" width="11.725" style="124" customWidth="1"/>
    <col min="9213" max="9459" width="9" style="124" customWidth="1"/>
    <col min="9460" max="9460" width="11.6333333333333" style="124" customWidth="1"/>
    <col min="9461" max="9461" width="14" style="124" customWidth="1"/>
    <col min="9462" max="9462" width="23" style="124" customWidth="1"/>
    <col min="9463" max="9463" width="5.36666666666667" style="124" customWidth="1"/>
    <col min="9464" max="9464" width="7.5" style="124" customWidth="1"/>
    <col min="9465" max="9465" width="4.86666666666667" style="124" customWidth="1"/>
    <col min="9466" max="9466" width="7.5" style="124" customWidth="1"/>
    <col min="9467" max="9467" width="11.225" style="124" customWidth="1"/>
    <col min="9468" max="9468" width="11.725" style="124" customWidth="1"/>
    <col min="9469" max="9715" width="9" style="124" customWidth="1"/>
    <col min="9716" max="9716" width="11.6333333333333" style="124" customWidth="1"/>
    <col min="9717" max="9717" width="14" style="124" customWidth="1"/>
    <col min="9718" max="9718" width="23" style="124" customWidth="1"/>
    <col min="9719" max="9719" width="5.36666666666667" style="124" customWidth="1"/>
    <col min="9720" max="9720" width="7.5" style="124" customWidth="1"/>
    <col min="9721" max="9721" width="4.86666666666667" style="124" customWidth="1"/>
    <col min="9722" max="9722" width="7.5" style="124" customWidth="1"/>
    <col min="9723" max="9723" width="11.225" style="124" customWidth="1"/>
    <col min="9724" max="9724" width="11.725" style="124" customWidth="1"/>
    <col min="9725" max="9971" width="9" style="124" customWidth="1"/>
    <col min="9972" max="9972" width="11.6333333333333" style="124" customWidth="1"/>
    <col min="9973" max="9973" width="14" style="124" customWidth="1"/>
    <col min="9974" max="9974" width="23" style="124" customWidth="1"/>
    <col min="9975" max="9975" width="5.36666666666667" style="124" customWidth="1"/>
    <col min="9976" max="9976" width="7.5" style="124" customWidth="1"/>
    <col min="9977" max="9977" width="4.86666666666667" style="124" customWidth="1"/>
    <col min="9978" max="9978" width="7.5" style="124" customWidth="1"/>
    <col min="9979" max="9979" width="11.225" style="124" customWidth="1"/>
    <col min="9980" max="9980" width="11.725" style="124" customWidth="1"/>
    <col min="9981" max="10227" width="9" style="124" customWidth="1"/>
    <col min="10228" max="10228" width="11.6333333333333" style="124" customWidth="1"/>
    <col min="10229" max="10229" width="14" style="124" customWidth="1"/>
    <col min="10230" max="10230" width="23" style="124" customWidth="1"/>
    <col min="10231" max="10231" width="5.36666666666667" style="124" customWidth="1"/>
    <col min="10232" max="10232" width="7.5" style="124" customWidth="1"/>
    <col min="10233" max="10233" width="4.86666666666667" style="124" customWidth="1"/>
    <col min="10234" max="10234" width="7.5" style="124" customWidth="1"/>
    <col min="10235" max="10235" width="11.225" style="124" customWidth="1"/>
    <col min="10236" max="10236" width="11.725" style="124" customWidth="1"/>
    <col min="10237" max="10483" width="9" style="124" customWidth="1"/>
    <col min="10484" max="10484" width="11.6333333333333" style="124" customWidth="1"/>
    <col min="10485" max="10485" width="14" style="124" customWidth="1"/>
    <col min="10486" max="10486" width="23" style="124" customWidth="1"/>
    <col min="10487" max="10487" width="5.36666666666667" style="124" customWidth="1"/>
    <col min="10488" max="10488" width="7.5" style="124" customWidth="1"/>
    <col min="10489" max="10489" width="4.86666666666667" style="124" customWidth="1"/>
    <col min="10490" max="10490" width="7.5" style="124" customWidth="1"/>
    <col min="10491" max="10491" width="11.225" style="124" customWidth="1"/>
    <col min="10492" max="10492" width="11.725" style="124" customWidth="1"/>
    <col min="10493" max="10739" width="9" style="124" customWidth="1"/>
    <col min="10740" max="10740" width="11.6333333333333" style="124" customWidth="1"/>
    <col min="10741" max="10741" width="14" style="124" customWidth="1"/>
    <col min="10742" max="10742" width="23" style="124" customWidth="1"/>
    <col min="10743" max="10743" width="5.36666666666667" style="124" customWidth="1"/>
    <col min="10744" max="10744" width="7.5" style="124" customWidth="1"/>
    <col min="10745" max="10745" width="4.86666666666667" style="124" customWidth="1"/>
    <col min="10746" max="10746" width="7.5" style="124" customWidth="1"/>
    <col min="10747" max="10747" width="11.225" style="124" customWidth="1"/>
    <col min="10748" max="10748" width="11.725" style="124" customWidth="1"/>
    <col min="10749" max="10995" width="9" style="124" customWidth="1"/>
    <col min="10996" max="10996" width="11.6333333333333" style="124" customWidth="1"/>
    <col min="10997" max="10997" width="14" style="124" customWidth="1"/>
    <col min="10998" max="10998" width="23" style="124" customWidth="1"/>
    <col min="10999" max="10999" width="5.36666666666667" style="124" customWidth="1"/>
    <col min="11000" max="11000" width="7.5" style="124" customWidth="1"/>
    <col min="11001" max="11001" width="4.86666666666667" style="124" customWidth="1"/>
    <col min="11002" max="11002" width="7.5" style="124" customWidth="1"/>
    <col min="11003" max="11003" width="11.225" style="124" customWidth="1"/>
    <col min="11004" max="11004" width="11.725" style="124" customWidth="1"/>
    <col min="11005" max="11251" width="9" style="124" customWidth="1"/>
    <col min="11252" max="11252" width="11.6333333333333" style="124" customWidth="1"/>
    <col min="11253" max="11253" width="14" style="124" customWidth="1"/>
    <col min="11254" max="11254" width="23" style="124" customWidth="1"/>
    <col min="11255" max="11255" width="5.36666666666667" style="124" customWidth="1"/>
    <col min="11256" max="11256" width="7.5" style="124" customWidth="1"/>
    <col min="11257" max="11257" width="4.86666666666667" style="124" customWidth="1"/>
    <col min="11258" max="11258" width="7.5" style="124" customWidth="1"/>
    <col min="11259" max="11259" width="11.225" style="124" customWidth="1"/>
    <col min="11260" max="11260" width="11.725" style="124" customWidth="1"/>
    <col min="11261" max="11507" width="9" style="124" customWidth="1"/>
    <col min="11508" max="11508" width="11.6333333333333" style="124" customWidth="1"/>
    <col min="11509" max="11509" width="14" style="124" customWidth="1"/>
    <col min="11510" max="11510" width="23" style="124" customWidth="1"/>
    <col min="11511" max="11511" width="5.36666666666667" style="124" customWidth="1"/>
    <col min="11512" max="11512" width="7.5" style="124" customWidth="1"/>
    <col min="11513" max="11513" width="4.86666666666667" style="124" customWidth="1"/>
    <col min="11514" max="11514" width="7.5" style="124" customWidth="1"/>
    <col min="11515" max="11515" width="11.225" style="124" customWidth="1"/>
    <col min="11516" max="11516" width="11.725" style="124" customWidth="1"/>
    <col min="11517" max="11763" width="9" style="124" customWidth="1"/>
    <col min="11764" max="11764" width="11.6333333333333" style="124" customWidth="1"/>
    <col min="11765" max="11765" width="14" style="124" customWidth="1"/>
    <col min="11766" max="11766" width="23" style="124" customWidth="1"/>
    <col min="11767" max="11767" width="5.36666666666667" style="124" customWidth="1"/>
    <col min="11768" max="11768" width="7.5" style="124" customWidth="1"/>
    <col min="11769" max="11769" width="4.86666666666667" style="124" customWidth="1"/>
    <col min="11770" max="11770" width="7.5" style="124" customWidth="1"/>
    <col min="11771" max="11771" width="11.225" style="124" customWidth="1"/>
    <col min="11772" max="11772" width="11.725" style="124" customWidth="1"/>
    <col min="11773" max="12019" width="9" style="124" customWidth="1"/>
    <col min="12020" max="12020" width="11.6333333333333" style="124" customWidth="1"/>
    <col min="12021" max="12021" width="14" style="124" customWidth="1"/>
    <col min="12022" max="12022" width="23" style="124" customWidth="1"/>
    <col min="12023" max="12023" width="5.36666666666667" style="124" customWidth="1"/>
    <col min="12024" max="12024" width="7.5" style="124" customWidth="1"/>
    <col min="12025" max="12025" width="4.86666666666667" style="124" customWidth="1"/>
    <col min="12026" max="12026" width="7.5" style="124" customWidth="1"/>
    <col min="12027" max="12027" width="11.225" style="124" customWidth="1"/>
    <col min="12028" max="12028" width="11.725" style="124" customWidth="1"/>
    <col min="12029" max="12275" width="9" style="124" customWidth="1"/>
    <col min="12276" max="12276" width="11.6333333333333" style="124" customWidth="1"/>
    <col min="12277" max="12277" width="14" style="124" customWidth="1"/>
    <col min="12278" max="12278" width="23" style="124" customWidth="1"/>
    <col min="12279" max="12279" width="5.36666666666667" style="124" customWidth="1"/>
    <col min="12280" max="12280" width="7.5" style="124" customWidth="1"/>
    <col min="12281" max="12281" width="4.86666666666667" style="124" customWidth="1"/>
    <col min="12282" max="12282" width="7.5" style="124" customWidth="1"/>
    <col min="12283" max="12283" width="11.225" style="124" customWidth="1"/>
    <col min="12284" max="12284" width="11.725" style="124" customWidth="1"/>
    <col min="12285" max="12531" width="9" style="124" customWidth="1"/>
    <col min="12532" max="12532" width="11.6333333333333" style="124" customWidth="1"/>
    <col min="12533" max="12533" width="14" style="124" customWidth="1"/>
    <col min="12534" max="12534" width="23" style="124" customWidth="1"/>
    <col min="12535" max="12535" width="5.36666666666667" style="124" customWidth="1"/>
    <col min="12536" max="12536" width="7.5" style="124" customWidth="1"/>
    <col min="12537" max="12537" width="4.86666666666667" style="124" customWidth="1"/>
    <col min="12538" max="12538" width="7.5" style="124" customWidth="1"/>
    <col min="12539" max="12539" width="11.225" style="124" customWidth="1"/>
    <col min="12540" max="12540" width="11.725" style="124" customWidth="1"/>
    <col min="12541" max="12787" width="9" style="124" customWidth="1"/>
    <col min="12788" max="12788" width="11.6333333333333" style="124" customWidth="1"/>
    <col min="12789" max="12789" width="14" style="124" customWidth="1"/>
    <col min="12790" max="12790" width="23" style="124" customWidth="1"/>
    <col min="12791" max="12791" width="5.36666666666667" style="124" customWidth="1"/>
    <col min="12792" max="12792" width="7.5" style="124" customWidth="1"/>
    <col min="12793" max="12793" width="4.86666666666667" style="124" customWidth="1"/>
    <col min="12794" max="12794" width="7.5" style="124" customWidth="1"/>
    <col min="12795" max="12795" width="11.225" style="124" customWidth="1"/>
    <col min="12796" max="12796" width="11.725" style="124" customWidth="1"/>
    <col min="12797" max="13043" width="9" style="124" customWidth="1"/>
    <col min="13044" max="13044" width="11.6333333333333" style="124" customWidth="1"/>
    <col min="13045" max="13045" width="14" style="124" customWidth="1"/>
    <col min="13046" max="13046" width="23" style="124" customWidth="1"/>
    <col min="13047" max="13047" width="5.36666666666667" style="124" customWidth="1"/>
    <col min="13048" max="13048" width="7.5" style="124" customWidth="1"/>
    <col min="13049" max="13049" width="4.86666666666667" style="124" customWidth="1"/>
    <col min="13050" max="13050" width="7.5" style="124" customWidth="1"/>
    <col min="13051" max="13051" width="11.225" style="124" customWidth="1"/>
    <col min="13052" max="13052" width="11.725" style="124" customWidth="1"/>
    <col min="13053" max="13299" width="9" style="124" customWidth="1"/>
    <col min="13300" max="13300" width="11.6333333333333" style="124" customWidth="1"/>
    <col min="13301" max="13301" width="14" style="124" customWidth="1"/>
    <col min="13302" max="13302" width="23" style="124" customWidth="1"/>
    <col min="13303" max="13303" width="5.36666666666667" style="124" customWidth="1"/>
    <col min="13304" max="13304" width="7.5" style="124" customWidth="1"/>
    <col min="13305" max="13305" width="4.86666666666667" style="124" customWidth="1"/>
    <col min="13306" max="13306" width="7.5" style="124" customWidth="1"/>
    <col min="13307" max="13307" width="11.225" style="124" customWidth="1"/>
    <col min="13308" max="13308" width="11.725" style="124" customWidth="1"/>
    <col min="13309" max="13555" width="9" style="124" customWidth="1"/>
    <col min="13556" max="13556" width="11.6333333333333" style="124" customWidth="1"/>
    <col min="13557" max="13557" width="14" style="124" customWidth="1"/>
    <col min="13558" max="13558" width="23" style="124" customWidth="1"/>
    <col min="13559" max="13559" width="5.36666666666667" style="124" customWidth="1"/>
    <col min="13560" max="13560" width="7.5" style="124" customWidth="1"/>
    <col min="13561" max="13561" width="4.86666666666667" style="124" customWidth="1"/>
    <col min="13562" max="13562" width="7.5" style="124" customWidth="1"/>
    <col min="13563" max="13563" width="11.225" style="124" customWidth="1"/>
    <col min="13564" max="13564" width="11.725" style="124" customWidth="1"/>
    <col min="13565" max="13811" width="9" style="124" customWidth="1"/>
    <col min="13812" max="13812" width="11.6333333333333" style="124" customWidth="1"/>
    <col min="13813" max="13813" width="14" style="124" customWidth="1"/>
    <col min="13814" max="13814" width="23" style="124" customWidth="1"/>
    <col min="13815" max="13815" width="5.36666666666667" style="124" customWidth="1"/>
    <col min="13816" max="13816" width="7.5" style="124" customWidth="1"/>
    <col min="13817" max="13817" width="4.86666666666667" style="124" customWidth="1"/>
    <col min="13818" max="13818" width="7.5" style="124" customWidth="1"/>
    <col min="13819" max="13819" width="11.225" style="124" customWidth="1"/>
    <col min="13820" max="13820" width="11.725" style="124" customWidth="1"/>
    <col min="13821" max="14067" width="9" style="124" customWidth="1"/>
    <col min="14068" max="14068" width="11.6333333333333" style="124" customWidth="1"/>
    <col min="14069" max="14069" width="14" style="124" customWidth="1"/>
    <col min="14070" max="14070" width="23" style="124" customWidth="1"/>
    <col min="14071" max="14071" width="5.36666666666667" style="124" customWidth="1"/>
    <col min="14072" max="14072" width="7.5" style="124" customWidth="1"/>
    <col min="14073" max="14073" width="4.86666666666667" style="124" customWidth="1"/>
    <col min="14074" max="14074" width="7.5" style="124" customWidth="1"/>
    <col min="14075" max="14075" width="11.225" style="124" customWidth="1"/>
    <col min="14076" max="14076" width="11.725" style="124" customWidth="1"/>
    <col min="14077" max="14323" width="9" style="124" customWidth="1"/>
    <col min="14324" max="14324" width="11.6333333333333" style="124" customWidth="1"/>
    <col min="14325" max="14325" width="14" style="124" customWidth="1"/>
    <col min="14326" max="14326" width="23" style="124" customWidth="1"/>
    <col min="14327" max="14327" width="5.36666666666667" style="124" customWidth="1"/>
    <col min="14328" max="14328" width="7.5" style="124" customWidth="1"/>
    <col min="14329" max="14329" width="4.86666666666667" style="124" customWidth="1"/>
    <col min="14330" max="14330" width="7.5" style="124" customWidth="1"/>
    <col min="14331" max="14331" width="11.225" style="124" customWidth="1"/>
    <col min="14332" max="14332" width="11.725" style="124" customWidth="1"/>
    <col min="14333" max="14579" width="9" style="124" customWidth="1"/>
    <col min="14580" max="14580" width="11.6333333333333" style="124" customWidth="1"/>
    <col min="14581" max="14581" width="14" style="124" customWidth="1"/>
    <col min="14582" max="14582" width="23" style="124" customWidth="1"/>
    <col min="14583" max="14583" width="5.36666666666667" style="124" customWidth="1"/>
    <col min="14584" max="14584" width="7.5" style="124" customWidth="1"/>
    <col min="14585" max="14585" width="4.86666666666667" style="124" customWidth="1"/>
    <col min="14586" max="14586" width="7.5" style="124" customWidth="1"/>
    <col min="14587" max="14587" width="11.225" style="124" customWidth="1"/>
    <col min="14588" max="14588" width="11.725" style="124" customWidth="1"/>
    <col min="14589" max="14835" width="9" style="124" customWidth="1"/>
    <col min="14836" max="14836" width="11.6333333333333" style="124" customWidth="1"/>
    <col min="14837" max="14837" width="14" style="124" customWidth="1"/>
    <col min="14838" max="14838" width="23" style="124" customWidth="1"/>
    <col min="14839" max="14839" width="5.36666666666667" style="124" customWidth="1"/>
    <col min="14840" max="14840" width="7.5" style="124" customWidth="1"/>
    <col min="14841" max="14841" width="4.86666666666667" style="124" customWidth="1"/>
    <col min="14842" max="14842" width="7.5" style="124" customWidth="1"/>
    <col min="14843" max="14843" width="11.225" style="124" customWidth="1"/>
    <col min="14844" max="14844" width="11.725" style="124" customWidth="1"/>
    <col min="14845" max="15091" width="9" style="124" customWidth="1"/>
    <col min="15092" max="15092" width="11.6333333333333" style="124" customWidth="1"/>
    <col min="15093" max="15093" width="14" style="124" customWidth="1"/>
    <col min="15094" max="15094" width="23" style="124" customWidth="1"/>
    <col min="15095" max="15095" width="5.36666666666667" style="124" customWidth="1"/>
    <col min="15096" max="15096" width="7.5" style="124" customWidth="1"/>
    <col min="15097" max="15097" width="4.86666666666667" style="124" customWidth="1"/>
    <col min="15098" max="15098" width="7.5" style="124" customWidth="1"/>
    <col min="15099" max="15099" width="11.225" style="124" customWidth="1"/>
    <col min="15100" max="15100" width="11.725" style="124" customWidth="1"/>
    <col min="15101" max="15347" width="9" style="124" customWidth="1"/>
    <col min="15348" max="15348" width="11.6333333333333" style="124" customWidth="1"/>
    <col min="15349" max="15349" width="14" style="124" customWidth="1"/>
    <col min="15350" max="15350" width="23" style="124" customWidth="1"/>
    <col min="15351" max="15351" width="5.36666666666667" style="124" customWidth="1"/>
    <col min="15352" max="15352" width="7.5" style="124" customWidth="1"/>
    <col min="15353" max="15353" width="4.86666666666667" style="124" customWidth="1"/>
    <col min="15354" max="15354" width="7.5" style="124" customWidth="1"/>
    <col min="15355" max="15355" width="11.225" style="124" customWidth="1"/>
    <col min="15356" max="15356" width="11.725" style="124" customWidth="1"/>
    <col min="15357" max="15603" width="9" style="124" customWidth="1"/>
    <col min="15604" max="15604" width="11.6333333333333" style="124" customWidth="1"/>
    <col min="15605" max="15605" width="14" style="124" customWidth="1"/>
    <col min="15606" max="15606" width="23" style="124" customWidth="1"/>
    <col min="15607" max="15607" width="5.36666666666667" style="124" customWidth="1"/>
    <col min="15608" max="15608" width="7.5" style="124" customWidth="1"/>
    <col min="15609" max="15609" width="4.86666666666667" style="124" customWidth="1"/>
    <col min="15610" max="15610" width="7.5" style="124" customWidth="1"/>
    <col min="15611" max="15611" width="11.225" style="124" customWidth="1"/>
    <col min="15612" max="15612" width="11.725" style="124" customWidth="1"/>
    <col min="15613" max="15859" width="9" style="124" customWidth="1"/>
    <col min="15860" max="15860" width="11.6333333333333" style="124" customWidth="1"/>
    <col min="15861" max="15861" width="14" style="124" customWidth="1"/>
    <col min="15862" max="15862" width="23" style="124" customWidth="1"/>
    <col min="15863" max="15863" width="5.36666666666667" style="124" customWidth="1"/>
    <col min="15864" max="15864" width="7.5" style="124" customWidth="1"/>
    <col min="15865" max="15865" width="4.86666666666667" style="124" customWidth="1"/>
    <col min="15866" max="15866" width="7.5" style="124" customWidth="1"/>
    <col min="15867" max="15867" width="11.225" style="124" customWidth="1"/>
    <col min="15868" max="15868" width="11.725" style="124" customWidth="1"/>
    <col min="15869" max="16115" width="9" style="124" customWidth="1"/>
    <col min="16116" max="16116" width="11.6333333333333" style="124" customWidth="1"/>
    <col min="16117" max="16117" width="14" style="124" customWidth="1"/>
    <col min="16118" max="16118" width="23" style="124" customWidth="1"/>
    <col min="16119" max="16119" width="5.36666666666667" style="124" customWidth="1"/>
    <col min="16120" max="16120" width="7.5" style="124" customWidth="1"/>
    <col min="16121" max="16121" width="4.86666666666667" style="124" customWidth="1"/>
    <col min="16122" max="16122" width="7.5" style="124" customWidth="1"/>
    <col min="16123" max="16123" width="11.225" style="124" customWidth="1"/>
    <col min="16124" max="16124" width="11.725" style="124" customWidth="1"/>
    <col min="16125" max="16384" width="9" style="124" customWidth="1"/>
  </cols>
  <sheetData>
    <row r="1" ht="37.5" customHeight="1" spans="1:11">
      <c r="A1" s="126" t="s">
        <v>663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ht="15" customHeight="1" spans="1:11">
      <c r="A2" s="54" t="s">
        <v>1</v>
      </c>
      <c r="B2" s="128" t="s">
        <v>2</v>
      </c>
      <c r="C2" s="128"/>
      <c r="D2" s="129" t="s">
        <v>3</v>
      </c>
      <c r="E2" s="130" t="s">
        <v>4</v>
      </c>
      <c r="F2" s="130"/>
      <c r="G2" s="129" t="s">
        <v>5</v>
      </c>
      <c r="H2" s="128" t="s">
        <v>6</v>
      </c>
      <c r="I2" s="128"/>
      <c r="J2" s="128"/>
      <c r="K2" s="154"/>
    </row>
    <row r="3" ht="15" customHeight="1" spans="1:11">
      <c r="A3" s="63" t="s">
        <v>7</v>
      </c>
      <c r="B3" s="131" t="s">
        <v>8</v>
      </c>
      <c r="C3" s="131"/>
      <c r="D3" s="93" t="s">
        <v>9</v>
      </c>
      <c r="E3" s="132" t="s">
        <v>10</v>
      </c>
      <c r="F3" s="132"/>
      <c r="G3" s="133" t="s">
        <v>11</v>
      </c>
      <c r="H3" s="131" t="s">
        <v>4</v>
      </c>
      <c r="I3" s="131"/>
      <c r="J3" s="131"/>
      <c r="K3" s="155"/>
    </row>
    <row r="4" ht="15" customHeight="1" spans="1:11">
      <c r="A4" s="34" t="s">
        <v>12</v>
      </c>
      <c r="B4" s="134" t="s">
        <v>13</v>
      </c>
      <c r="C4" s="134"/>
      <c r="D4" s="135" t="s">
        <v>14</v>
      </c>
      <c r="E4" s="136" t="s">
        <v>4</v>
      </c>
      <c r="F4" s="136"/>
      <c r="G4" s="135" t="s">
        <v>15</v>
      </c>
      <c r="H4" s="134" t="s">
        <v>4</v>
      </c>
      <c r="I4" s="134"/>
      <c r="J4" s="134"/>
      <c r="K4" s="156"/>
    </row>
    <row r="5" ht="15" customHeight="1" spans="1:11">
      <c r="A5" s="137" t="s">
        <v>17</v>
      </c>
      <c r="B5" s="138" t="s">
        <v>18</v>
      </c>
      <c r="C5" s="138" t="s">
        <v>19</v>
      </c>
      <c r="D5" s="138" t="s">
        <v>20</v>
      </c>
      <c r="E5" s="138" t="s">
        <v>21</v>
      </c>
      <c r="F5" s="139" t="s">
        <v>664</v>
      </c>
      <c r="G5" s="139"/>
      <c r="H5" s="139"/>
      <c r="I5" s="139" t="s">
        <v>665</v>
      </c>
      <c r="J5" s="139" t="s">
        <v>666</v>
      </c>
      <c r="K5" s="157" t="s">
        <v>24</v>
      </c>
    </row>
    <row r="6" spans="1:11">
      <c r="A6" s="140"/>
      <c r="B6" s="141"/>
      <c r="C6" s="141"/>
      <c r="D6" s="141"/>
      <c r="E6" s="141"/>
      <c r="F6" s="141" t="s">
        <v>27</v>
      </c>
      <c r="G6" s="141" t="s">
        <v>28</v>
      </c>
      <c r="H6" s="141" t="s">
        <v>29</v>
      </c>
      <c r="I6" s="158"/>
      <c r="J6" s="158"/>
      <c r="K6" s="159"/>
    </row>
    <row r="7" spans="1:11">
      <c r="A7" s="142">
        <v>1</v>
      </c>
      <c r="B7" s="143" t="s">
        <v>30</v>
      </c>
      <c r="C7" s="143" t="s">
        <v>31</v>
      </c>
      <c r="D7" s="144" t="s">
        <v>32</v>
      </c>
      <c r="E7" s="144" t="s">
        <v>33</v>
      </c>
      <c r="F7" s="145">
        <v>855</v>
      </c>
      <c r="G7" s="145">
        <v>395</v>
      </c>
      <c r="H7" s="145">
        <v>18</v>
      </c>
      <c r="I7" s="145" t="s">
        <v>211</v>
      </c>
      <c r="J7" s="145" t="s">
        <v>667</v>
      </c>
      <c r="K7" s="160">
        <v>1</v>
      </c>
    </row>
    <row r="8" spans="1:11">
      <c r="A8" s="146">
        <v>2</v>
      </c>
      <c r="B8" s="147" t="s">
        <v>30</v>
      </c>
      <c r="C8" s="147" t="s">
        <v>35</v>
      </c>
      <c r="D8" s="148" t="s">
        <v>32</v>
      </c>
      <c r="E8" s="148" t="s">
        <v>33</v>
      </c>
      <c r="F8" s="149">
        <v>855</v>
      </c>
      <c r="G8" s="149">
        <v>395</v>
      </c>
      <c r="H8" s="149">
        <v>18</v>
      </c>
      <c r="I8" s="149" t="s">
        <v>211</v>
      </c>
      <c r="J8" s="149" t="s">
        <v>667</v>
      </c>
      <c r="K8" s="161">
        <v>1</v>
      </c>
    </row>
    <row r="9" spans="1:11">
      <c r="A9" s="146">
        <v>3</v>
      </c>
      <c r="B9" s="147" t="s">
        <v>36</v>
      </c>
      <c r="C9" s="147" t="s">
        <v>35</v>
      </c>
      <c r="D9" s="148" t="s">
        <v>32</v>
      </c>
      <c r="E9" s="148" t="s">
        <v>33</v>
      </c>
      <c r="F9" s="149">
        <v>2385</v>
      </c>
      <c r="G9" s="149">
        <v>463</v>
      </c>
      <c r="H9" s="149">
        <v>18</v>
      </c>
      <c r="I9" s="149" t="s">
        <v>211</v>
      </c>
      <c r="J9" s="149" t="s">
        <v>667</v>
      </c>
      <c r="K9" s="161">
        <v>1</v>
      </c>
    </row>
    <row r="10" spans="1:11">
      <c r="A10" s="146">
        <v>4</v>
      </c>
      <c r="B10" s="147" t="s">
        <v>38</v>
      </c>
      <c r="C10" s="147" t="s">
        <v>31</v>
      </c>
      <c r="D10" s="148" t="s">
        <v>32</v>
      </c>
      <c r="E10" s="148" t="s">
        <v>33</v>
      </c>
      <c r="F10" s="149">
        <v>1385</v>
      </c>
      <c r="G10" s="149">
        <v>419</v>
      </c>
      <c r="H10" s="149">
        <v>18</v>
      </c>
      <c r="I10" s="149" t="s">
        <v>211</v>
      </c>
      <c r="J10" s="149" t="s">
        <v>667</v>
      </c>
      <c r="K10" s="161">
        <v>1</v>
      </c>
    </row>
    <row r="11" spans="1:11">
      <c r="A11" s="146">
        <v>5</v>
      </c>
      <c r="B11" s="147" t="s">
        <v>40</v>
      </c>
      <c r="C11" s="147" t="s">
        <v>31</v>
      </c>
      <c r="D11" s="148" t="s">
        <v>32</v>
      </c>
      <c r="E11" s="148" t="s">
        <v>33</v>
      </c>
      <c r="F11" s="149">
        <v>2405</v>
      </c>
      <c r="G11" s="149">
        <v>495</v>
      </c>
      <c r="H11" s="149">
        <v>18</v>
      </c>
      <c r="I11" s="149" t="s">
        <v>211</v>
      </c>
      <c r="J11" s="149" t="s">
        <v>667</v>
      </c>
      <c r="K11" s="161">
        <v>1</v>
      </c>
    </row>
    <row r="12" spans="1:11">
      <c r="A12" s="146">
        <v>6</v>
      </c>
      <c r="B12" s="147" t="s">
        <v>40</v>
      </c>
      <c r="C12" s="147" t="s">
        <v>35</v>
      </c>
      <c r="D12" s="148" t="s">
        <v>32</v>
      </c>
      <c r="E12" s="148" t="s">
        <v>33</v>
      </c>
      <c r="F12" s="149">
        <v>2405</v>
      </c>
      <c r="G12" s="149">
        <v>495</v>
      </c>
      <c r="H12" s="149">
        <v>18</v>
      </c>
      <c r="I12" s="149" t="s">
        <v>211</v>
      </c>
      <c r="J12" s="149" t="s">
        <v>667</v>
      </c>
      <c r="K12" s="161">
        <v>1</v>
      </c>
    </row>
    <row r="13" spans="1:11">
      <c r="A13" s="146">
        <v>7</v>
      </c>
      <c r="B13" s="147" t="s">
        <v>41</v>
      </c>
      <c r="C13" s="147" t="s">
        <v>31</v>
      </c>
      <c r="D13" s="148" t="s">
        <v>32</v>
      </c>
      <c r="E13" s="148" t="s">
        <v>33</v>
      </c>
      <c r="F13" s="149">
        <v>2385</v>
      </c>
      <c r="G13" s="149">
        <v>443</v>
      </c>
      <c r="H13" s="149">
        <v>18</v>
      </c>
      <c r="I13" s="149" t="s">
        <v>211</v>
      </c>
      <c r="J13" s="149" t="s">
        <v>667</v>
      </c>
      <c r="K13" s="161">
        <v>1</v>
      </c>
    </row>
    <row r="14" spans="1:11">
      <c r="A14" s="150" t="s">
        <v>42</v>
      </c>
      <c r="B14" s="151"/>
      <c r="C14" s="151"/>
      <c r="D14" s="152"/>
      <c r="E14" s="152"/>
      <c r="F14" s="153"/>
      <c r="G14" s="153"/>
      <c r="H14" s="153"/>
      <c r="I14" s="153"/>
      <c r="J14" s="153"/>
      <c r="K14" s="162">
        <f>SUM(K7:K13)</f>
        <v>7</v>
      </c>
    </row>
    <row r="15" spans="1:11">
      <c r="A15" s="142">
        <v>8</v>
      </c>
      <c r="B15" s="143" t="s">
        <v>551</v>
      </c>
      <c r="C15" s="143" t="s">
        <v>114</v>
      </c>
      <c r="D15" s="144" t="s">
        <v>32</v>
      </c>
      <c r="E15" s="144" t="s">
        <v>115</v>
      </c>
      <c r="F15" s="145">
        <v>158</v>
      </c>
      <c r="G15" s="145">
        <v>720</v>
      </c>
      <c r="H15" s="145">
        <v>18</v>
      </c>
      <c r="I15" s="145" t="s">
        <v>667</v>
      </c>
      <c r="J15" s="145" t="s">
        <v>211</v>
      </c>
      <c r="K15" s="160">
        <v>1</v>
      </c>
    </row>
    <row r="16" spans="1:11">
      <c r="A16" s="146">
        <v>9</v>
      </c>
      <c r="B16" s="147" t="s">
        <v>551</v>
      </c>
      <c r="C16" s="147" t="s">
        <v>117</v>
      </c>
      <c r="D16" s="148" t="s">
        <v>32</v>
      </c>
      <c r="E16" s="148" t="s">
        <v>115</v>
      </c>
      <c r="F16" s="149">
        <v>720</v>
      </c>
      <c r="G16" s="149">
        <v>328</v>
      </c>
      <c r="H16" s="149">
        <v>18</v>
      </c>
      <c r="I16" s="149" t="s">
        <v>668</v>
      </c>
      <c r="J16" s="149" t="s">
        <v>669</v>
      </c>
      <c r="K16" s="161">
        <v>2</v>
      </c>
    </row>
    <row r="17" spans="1:11">
      <c r="A17" s="146">
        <v>10</v>
      </c>
      <c r="B17" s="147" t="s">
        <v>551</v>
      </c>
      <c r="C17" s="147" t="s">
        <v>121</v>
      </c>
      <c r="D17" s="148" t="s">
        <v>32</v>
      </c>
      <c r="E17" s="148" t="s">
        <v>115</v>
      </c>
      <c r="F17" s="149">
        <v>658</v>
      </c>
      <c r="G17" s="149">
        <v>148</v>
      </c>
      <c r="H17" s="149">
        <v>18</v>
      </c>
      <c r="I17" s="149" t="s">
        <v>667</v>
      </c>
      <c r="J17" s="149" t="s">
        <v>211</v>
      </c>
      <c r="K17" s="161">
        <v>1</v>
      </c>
    </row>
    <row r="18" spans="1:11">
      <c r="A18" s="146">
        <v>11</v>
      </c>
      <c r="B18" s="147" t="s">
        <v>551</v>
      </c>
      <c r="C18" s="147" t="s">
        <v>123</v>
      </c>
      <c r="D18" s="148" t="s">
        <v>32</v>
      </c>
      <c r="E18" s="148" t="s">
        <v>115</v>
      </c>
      <c r="F18" s="149">
        <v>658</v>
      </c>
      <c r="G18" s="149">
        <v>148</v>
      </c>
      <c r="H18" s="149">
        <v>18</v>
      </c>
      <c r="I18" s="149" t="s">
        <v>667</v>
      </c>
      <c r="J18" s="149" t="s">
        <v>211</v>
      </c>
      <c r="K18" s="161">
        <v>1</v>
      </c>
    </row>
    <row r="19" spans="1:11">
      <c r="A19" s="146">
        <v>12</v>
      </c>
      <c r="B19" s="147" t="s">
        <v>551</v>
      </c>
      <c r="C19" s="147" t="s">
        <v>124</v>
      </c>
      <c r="D19" s="148" t="s">
        <v>32</v>
      </c>
      <c r="E19" s="148" t="s">
        <v>115</v>
      </c>
      <c r="F19" s="149">
        <v>248</v>
      </c>
      <c r="G19" s="149">
        <v>148</v>
      </c>
      <c r="H19" s="149">
        <v>18</v>
      </c>
      <c r="I19" s="149" t="s">
        <v>667</v>
      </c>
      <c r="J19" s="149" t="s">
        <v>211</v>
      </c>
      <c r="K19" s="161">
        <v>1</v>
      </c>
    </row>
    <row r="20" spans="1:11">
      <c r="A20" s="146">
        <v>13</v>
      </c>
      <c r="B20" s="147" t="s">
        <v>551</v>
      </c>
      <c r="C20" s="147" t="s">
        <v>126</v>
      </c>
      <c r="D20" s="148" t="s">
        <v>32</v>
      </c>
      <c r="E20" s="148" t="s">
        <v>115</v>
      </c>
      <c r="F20" s="149">
        <v>248</v>
      </c>
      <c r="G20" s="149">
        <v>148</v>
      </c>
      <c r="H20" s="149">
        <v>18</v>
      </c>
      <c r="I20" s="149" t="s">
        <v>667</v>
      </c>
      <c r="J20" s="149" t="s">
        <v>211</v>
      </c>
      <c r="K20" s="161">
        <v>1</v>
      </c>
    </row>
    <row r="21" spans="1:11">
      <c r="A21" s="146">
        <v>14</v>
      </c>
      <c r="B21" s="147" t="s">
        <v>551</v>
      </c>
      <c r="C21" s="147" t="s">
        <v>129</v>
      </c>
      <c r="D21" s="148" t="s">
        <v>32</v>
      </c>
      <c r="E21" s="148" t="s">
        <v>115</v>
      </c>
      <c r="F21" s="149">
        <v>738</v>
      </c>
      <c r="G21" s="149">
        <v>48</v>
      </c>
      <c r="H21" s="149">
        <v>18</v>
      </c>
      <c r="I21" s="149" t="s">
        <v>668</v>
      </c>
      <c r="J21" s="149" t="s">
        <v>669</v>
      </c>
      <c r="K21" s="161">
        <v>1</v>
      </c>
    </row>
    <row r="22" spans="1:11">
      <c r="A22" s="146">
        <v>15</v>
      </c>
      <c r="B22" s="147" t="s">
        <v>551</v>
      </c>
      <c r="C22" s="147" t="s">
        <v>131</v>
      </c>
      <c r="D22" s="148" t="s">
        <v>32</v>
      </c>
      <c r="E22" s="148" t="s">
        <v>115</v>
      </c>
      <c r="F22" s="149">
        <v>48</v>
      </c>
      <c r="G22" s="149">
        <v>738</v>
      </c>
      <c r="H22" s="149">
        <v>18</v>
      </c>
      <c r="I22" s="149" t="s">
        <v>667</v>
      </c>
      <c r="J22" s="149" t="s">
        <v>211</v>
      </c>
      <c r="K22" s="161">
        <v>1</v>
      </c>
    </row>
    <row r="23" spans="1:11">
      <c r="A23" s="146">
        <v>16</v>
      </c>
      <c r="B23" s="147" t="s">
        <v>551</v>
      </c>
      <c r="C23" s="147" t="s">
        <v>134</v>
      </c>
      <c r="D23" s="148" t="s">
        <v>32</v>
      </c>
      <c r="E23" s="148" t="s">
        <v>115</v>
      </c>
      <c r="F23" s="149">
        <v>328</v>
      </c>
      <c r="G23" s="149">
        <v>430</v>
      </c>
      <c r="H23" s="149">
        <v>18</v>
      </c>
      <c r="I23" s="149" t="s">
        <v>670</v>
      </c>
      <c r="J23" s="149" t="s">
        <v>671</v>
      </c>
      <c r="K23" s="161">
        <v>1</v>
      </c>
    </row>
    <row r="24" spans="1:11">
      <c r="A24" s="146">
        <v>17</v>
      </c>
      <c r="B24" s="147" t="s">
        <v>551</v>
      </c>
      <c r="C24" s="147" t="s">
        <v>129</v>
      </c>
      <c r="D24" s="148" t="s">
        <v>32</v>
      </c>
      <c r="E24" s="148" t="s">
        <v>115</v>
      </c>
      <c r="F24" s="149">
        <v>756</v>
      </c>
      <c r="G24" s="149">
        <v>348</v>
      </c>
      <c r="H24" s="149">
        <v>18</v>
      </c>
      <c r="I24" s="149" t="s">
        <v>668</v>
      </c>
      <c r="J24" s="149" t="s">
        <v>669</v>
      </c>
      <c r="K24" s="161">
        <v>1</v>
      </c>
    </row>
    <row r="25" spans="1:11">
      <c r="A25" s="146">
        <v>18</v>
      </c>
      <c r="B25" s="147" t="s">
        <v>551</v>
      </c>
      <c r="C25" s="147" t="s">
        <v>137</v>
      </c>
      <c r="D25" s="148" t="s">
        <v>32</v>
      </c>
      <c r="E25" s="148" t="s">
        <v>115</v>
      </c>
      <c r="F25" s="149">
        <v>1668</v>
      </c>
      <c r="G25" s="149">
        <v>756</v>
      </c>
      <c r="H25" s="149">
        <v>18</v>
      </c>
      <c r="I25" s="149" t="s">
        <v>667</v>
      </c>
      <c r="J25" s="149" t="s">
        <v>211</v>
      </c>
      <c r="K25" s="161">
        <v>1</v>
      </c>
    </row>
    <row r="26" spans="1:11">
      <c r="A26" s="146">
        <v>19</v>
      </c>
      <c r="B26" s="147" t="s">
        <v>551</v>
      </c>
      <c r="C26" s="147" t="s">
        <v>114</v>
      </c>
      <c r="D26" s="148" t="s">
        <v>32</v>
      </c>
      <c r="E26" s="148" t="s">
        <v>115</v>
      </c>
      <c r="F26" s="149">
        <v>52</v>
      </c>
      <c r="G26" s="149">
        <v>720</v>
      </c>
      <c r="H26" s="149">
        <v>18</v>
      </c>
      <c r="I26" s="149" t="s">
        <v>667</v>
      </c>
      <c r="J26" s="149" t="s">
        <v>211</v>
      </c>
      <c r="K26" s="161">
        <v>1</v>
      </c>
    </row>
    <row r="27" spans="1:11">
      <c r="A27" s="146">
        <v>20</v>
      </c>
      <c r="B27" s="147" t="s">
        <v>551</v>
      </c>
      <c r="C27" s="147" t="s">
        <v>142</v>
      </c>
      <c r="D27" s="148" t="s">
        <v>32</v>
      </c>
      <c r="E27" s="148" t="s">
        <v>115</v>
      </c>
      <c r="F27" s="149">
        <v>720</v>
      </c>
      <c r="G27" s="149">
        <v>190</v>
      </c>
      <c r="H27" s="149">
        <v>18</v>
      </c>
      <c r="I27" s="149" t="s">
        <v>668</v>
      </c>
      <c r="J27" s="149" t="s">
        <v>669</v>
      </c>
      <c r="K27" s="161">
        <v>1</v>
      </c>
    </row>
    <row r="28" spans="1:11">
      <c r="A28" s="146">
        <v>21</v>
      </c>
      <c r="B28" s="147" t="s">
        <v>551</v>
      </c>
      <c r="C28" s="147" t="s">
        <v>134</v>
      </c>
      <c r="D28" s="148" t="s">
        <v>32</v>
      </c>
      <c r="E28" s="148" t="s">
        <v>115</v>
      </c>
      <c r="F28" s="149">
        <v>328</v>
      </c>
      <c r="G28" s="149">
        <v>248</v>
      </c>
      <c r="H28" s="149">
        <v>18</v>
      </c>
      <c r="I28" s="149" t="s">
        <v>670</v>
      </c>
      <c r="J28" s="149" t="s">
        <v>671</v>
      </c>
      <c r="K28" s="161">
        <v>1</v>
      </c>
    </row>
    <row r="29" spans="1:11">
      <c r="A29" s="146">
        <v>22</v>
      </c>
      <c r="B29" s="147" t="s">
        <v>551</v>
      </c>
      <c r="C29" s="147" t="s">
        <v>145</v>
      </c>
      <c r="D29" s="148" t="s">
        <v>32</v>
      </c>
      <c r="E29" s="148" t="s">
        <v>115</v>
      </c>
      <c r="F29" s="149">
        <v>738</v>
      </c>
      <c r="G29" s="149">
        <v>48</v>
      </c>
      <c r="H29" s="149">
        <v>18</v>
      </c>
      <c r="I29" s="149" t="s">
        <v>667</v>
      </c>
      <c r="J29" s="149" t="s">
        <v>211</v>
      </c>
      <c r="K29" s="161">
        <v>1</v>
      </c>
    </row>
    <row r="30" spans="1:11">
      <c r="A30" s="146">
        <v>23</v>
      </c>
      <c r="B30" s="147" t="s">
        <v>551</v>
      </c>
      <c r="C30" s="147" t="s">
        <v>146</v>
      </c>
      <c r="D30" s="148" t="s">
        <v>32</v>
      </c>
      <c r="E30" s="148" t="s">
        <v>115</v>
      </c>
      <c r="F30" s="149">
        <v>738</v>
      </c>
      <c r="G30" s="149">
        <v>78</v>
      </c>
      <c r="H30" s="149">
        <v>18</v>
      </c>
      <c r="I30" s="149" t="s">
        <v>667</v>
      </c>
      <c r="J30" s="149" t="s">
        <v>211</v>
      </c>
      <c r="K30" s="161">
        <v>1</v>
      </c>
    </row>
    <row r="31" spans="1:11">
      <c r="A31" s="146">
        <v>24</v>
      </c>
      <c r="B31" s="147" t="s">
        <v>551</v>
      </c>
      <c r="C31" s="147" t="s">
        <v>114</v>
      </c>
      <c r="D31" s="148" t="s">
        <v>32</v>
      </c>
      <c r="E31" s="148" t="s">
        <v>115</v>
      </c>
      <c r="F31" s="149">
        <v>176</v>
      </c>
      <c r="G31" s="149">
        <v>738</v>
      </c>
      <c r="H31" s="149">
        <v>18</v>
      </c>
      <c r="I31" s="149" t="s">
        <v>667</v>
      </c>
      <c r="J31" s="149" t="s">
        <v>211</v>
      </c>
      <c r="K31" s="161">
        <v>1</v>
      </c>
    </row>
    <row r="32" spans="1:11">
      <c r="A32" s="146">
        <v>25</v>
      </c>
      <c r="B32" s="147" t="s">
        <v>551</v>
      </c>
      <c r="C32" s="147" t="s">
        <v>142</v>
      </c>
      <c r="D32" s="148" t="s">
        <v>32</v>
      </c>
      <c r="E32" s="148" t="s">
        <v>115</v>
      </c>
      <c r="F32" s="149">
        <v>738</v>
      </c>
      <c r="G32" s="149">
        <v>118</v>
      </c>
      <c r="H32" s="149">
        <v>18</v>
      </c>
      <c r="I32" s="149" t="s">
        <v>667</v>
      </c>
      <c r="J32" s="149" t="s">
        <v>211</v>
      </c>
      <c r="K32" s="161">
        <v>1</v>
      </c>
    </row>
    <row r="33" spans="1:11">
      <c r="A33" s="146">
        <v>26</v>
      </c>
      <c r="B33" s="147" t="s">
        <v>30</v>
      </c>
      <c r="C33" s="147" t="s">
        <v>110</v>
      </c>
      <c r="D33" s="148" t="s">
        <v>32</v>
      </c>
      <c r="E33" s="148" t="s">
        <v>115</v>
      </c>
      <c r="F33" s="149">
        <v>328</v>
      </c>
      <c r="G33" s="149">
        <v>1030</v>
      </c>
      <c r="H33" s="149">
        <v>18</v>
      </c>
      <c r="I33" s="149" t="s">
        <v>670</v>
      </c>
      <c r="J33" s="149" t="s">
        <v>671</v>
      </c>
      <c r="K33" s="161">
        <v>1</v>
      </c>
    </row>
    <row r="34" spans="1:11">
      <c r="A34" s="146">
        <v>27</v>
      </c>
      <c r="B34" s="147" t="s">
        <v>30</v>
      </c>
      <c r="C34" s="147" t="s">
        <v>114</v>
      </c>
      <c r="D34" s="148" t="s">
        <v>32</v>
      </c>
      <c r="E34" s="148" t="s">
        <v>115</v>
      </c>
      <c r="F34" s="149">
        <v>158</v>
      </c>
      <c r="G34" s="149">
        <v>1962</v>
      </c>
      <c r="H34" s="149">
        <v>18</v>
      </c>
      <c r="I34" s="149" t="s">
        <v>667</v>
      </c>
      <c r="J34" s="149" t="s">
        <v>211</v>
      </c>
      <c r="K34" s="161">
        <v>1</v>
      </c>
    </row>
    <row r="35" spans="1:11">
      <c r="A35" s="146">
        <v>28</v>
      </c>
      <c r="B35" s="147" t="s">
        <v>30</v>
      </c>
      <c r="C35" s="147" t="s">
        <v>117</v>
      </c>
      <c r="D35" s="148" t="s">
        <v>32</v>
      </c>
      <c r="E35" s="148" t="s">
        <v>115</v>
      </c>
      <c r="F35" s="149">
        <v>1962</v>
      </c>
      <c r="G35" s="149">
        <v>328</v>
      </c>
      <c r="H35" s="149">
        <v>18</v>
      </c>
      <c r="I35" s="149" t="s">
        <v>668</v>
      </c>
      <c r="J35" s="149" t="s">
        <v>669</v>
      </c>
      <c r="K35" s="161">
        <v>2</v>
      </c>
    </row>
    <row r="36" spans="1:11">
      <c r="A36" s="146">
        <v>29</v>
      </c>
      <c r="B36" s="147" t="s">
        <v>30</v>
      </c>
      <c r="C36" s="147" t="s">
        <v>129</v>
      </c>
      <c r="D36" s="148" t="s">
        <v>32</v>
      </c>
      <c r="E36" s="148" t="s">
        <v>115</v>
      </c>
      <c r="F36" s="149">
        <v>771</v>
      </c>
      <c r="G36" s="149">
        <v>323</v>
      </c>
      <c r="H36" s="149">
        <v>18</v>
      </c>
      <c r="I36" s="149" t="s">
        <v>668</v>
      </c>
      <c r="J36" s="149" t="s">
        <v>669</v>
      </c>
      <c r="K36" s="161">
        <v>3</v>
      </c>
    </row>
    <row r="37" spans="1:11">
      <c r="A37" s="146">
        <v>30</v>
      </c>
      <c r="B37" s="147" t="s">
        <v>30</v>
      </c>
      <c r="C37" s="147" t="s">
        <v>129</v>
      </c>
      <c r="D37" s="148" t="s">
        <v>32</v>
      </c>
      <c r="E37" s="148" t="s">
        <v>115</v>
      </c>
      <c r="F37" s="149">
        <v>1980</v>
      </c>
      <c r="G37" s="149">
        <v>48</v>
      </c>
      <c r="H37" s="149">
        <v>18</v>
      </c>
      <c r="I37" s="149" t="s">
        <v>668</v>
      </c>
      <c r="J37" s="149" t="s">
        <v>669</v>
      </c>
      <c r="K37" s="161">
        <v>1</v>
      </c>
    </row>
    <row r="38" spans="1:11">
      <c r="A38" s="146">
        <v>31</v>
      </c>
      <c r="B38" s="147" t="s">
        <v>30</v>
      </c>
      <c r="C38" s="147" t="s">
        <v>131</v>
      </c>
      <c r="D38" s="148" t="s">
        <v>32</v>
      </c>
      <c r="E38" s="148" t="s">
        <v>115</v>
      </c>
      <c r="F38" s="149">
        <v>48</v>
      </c>
      <c r="G38" s="149">
        <v>1980</v>
      </c>
      <c r="H38" s="149">
        <v>18</v>
      </c>
      <c r="I38" s="149" t="s">
        <v>667</v>
      </c>
      <c r="J38" s="149" t="s">
        <v>211</v>
      </c>
      <c r="K38" s="161">
        <v>1</v>
      </c>
    </row>
    <row r="39" spans="1:11">
      <c r="A39" s="146">
        <v>32</v>
      </c>
      <c r="B39" s="147" t="s">
        <v>30</v>
      </c>
      <c r="C39" s="147" t="s">
        <v>165</v>
      </c>
      <c r="D39" s="148" t="s">
        <v>32</v>
      </c>
      <c r="E39" s="148" t="s">
        <v>115</v>
      </c>
      <c r="F39" s="149">
        <v>328</v>
      </c>
      <c r="G39" s="149">
        <v>852</v>
      </c>
      <c r="H39" s="149">
        <v>18</v>
      </c>
      <c r="I39" s="149" t="s">
        <v>670</v>
      </c>
      <c r="J39" s="149" t="s">
        <v>671</v>
      </c>
      <c r="K39" s="161">
        <v>2</v>
      </c>
    </row>
    <row r="40" spans="1:11">
      <c r="A40" s="146">
        <v>33</v>
      </c>
      <c r="B40" s="147" t="s">
        <v>30</v>
      </c>
      <c r="C40" s="147" t="s">
        <v>129</v>
      </c>
      <c r="D40" s="148" t="s">
        <v>32</v>
      </c>
      <c r="E40" s="148" t="s">
        <v>115</v>
      </c>
      <c r="F40" s="149">
        <v>780</v>
      </c>
      <c r="G40" s="149">
        <v>274</v>
      </c>
      <c r="H40" s="149">
        <v>18</v>
      </c>
      <c r="I40" s="149" t="s">
        <v>668</v>
      </c>
      <c r="J40" s="149" t="s">
        <v>669</v>
      </c>
      <c r="K40" s="161">
        <v>2</v>
      </c>
    </row>
    <row r="41" spans="1:11">
      <c r="A41" s="146">
        <v>34</v>
      </c>
      <c r="B41" s="147" t="s">
        <v>30</v>
      </c>
      <c r="C41" s="147" t="s">
        <v>129</v>
      </c>
      <c r="D41" s="148" t="s">
        <v>32</v>
      </c>
      <c r="E41" s="148" t="s">
        <v>115</v>
      </c>
      <c r="F41" s="149">
        <v>780</v>
      </c>
      <c r="G41" s="149">
        <v>323</v>
      </c>
      <c r="H41" s="149">
        <v>18</v>
      </c>
      <c r="I41" s="149" t="s">
        <v>668</v>
      </c>
      <c r="J41" s="149" t="s">
        <v>669</v>
      </c>
      <c r="K41" s="161">
        <v>1</v>
      </c>
    </row>
    <row r="42" spans="1:11">
      <c r="A42" s="146">
        <v>35</v>
      </c>
      <c r="B42" s="147" t="s">
        <v>30</v>
      </c>
      <c r="C42" s="147" t="s">
        <v>129</v>
      </c>
      <c r="D42" s="148" t="s">
        <v>32</v>
      </c>
      <c r="E42" s="148" t="s">
        <v>115</v>
      </c>
      <c r="F42" s="149">
        <v>371</v>
      </c>
      <c r="G42" s="149">
        <v>323</v>
      </c>
      <c r="H42" s="149">
        <v>18</v>
      </c>
      <c r="I42" s="149" t="s">
        <v>668</v>
      </c>
      <c r="J42" s="149" t="s">
        <v>669</v>
      </c>
      <c r="K42" s="161">
        <v>3</v>
      </c>
    </row>
    <row r="43" spans="1:11">
      <c r="A43" s="146">
        <v>36</v>
      </c>
      <c r="B43" s="147" t="s">
        <v>30</v>
      </c>
      <c r="C43" s="147" t="s">
        <v>134</v>
      </c>
      <c r="D43" s="148" t="s">
        <v>32</v>
      </c>
      <c r="E43" s="148" t="s">
        <v>115</v>
      </c>
      <c r="F43" s="149">
        <v>328</v>
      </c>
      <c r="G43" s="149">
        <v>1030</v>
      </c>
      <c r="H43" s="149">
        <v>18</v>
      </c>
      <c r="I43" s="149" t="s">
        <v>670</v>
      </c>
      <c r="J43" s="149" t="s">
        <v>671</v>
      </c>
      <c r="K43" s="161">
        <v>1</v>
      </c>
    </row>
    <row r="44" spans="1:11">
      <c r="A44" s="146">
        <v>37</v>
      </c>
      <c r="B44" s="147" t="s">
        <v>30</v>
      </c>
      <c r="C44" s="147" t="s">
        <v>129</v>
      </c>
      <c r="D44" s="148" t="s">
        <v>32</v>
      </c>
      <c r="E44" s="148" t="s">
        <v>115</v>
      </c>
      <c r="F44" s="149">
        <v>1998</v>
      </c>
      <c r="G44" s="149">
        <v>348</v>
      </c>
      <c r="H44" s="149">
        <v>18</v>
      </c>
      <c r="I44" s="149" t="s">
        <v>668</v>
      </c>
      <c r="J44" s="149" t="s">
        <v>669</v>
      </c>
      <c r="K44" s="161">
        <v>1</v>
      </c>
    </row>
    <row r="45" spans="1:11">
      <c r="A45" s="146">
        <v>38</v>
      </c>
      <c r="B45" s="147" t="s">
        <v>30</v>
      </c>
      <c r="C45" s="147" t="s">
        <v>114</v>
      </c>
      <c r="D45" s="148" t="s">
        <v>32</v>
      </c>
      <c r="E45" s="148" t="s">
        <v>115</v>
      </c>
      <c r="F45" s="149">
        <v>508</v>
      </c>
      <c r="G45" s="149">
        <v>1998</v>
      </c>
      <c r="H45" s="149">
        <v>18</v>
      </c>
      <c r="I45" s="149" t="s">
        <v>667</v>
      </c>
      <c r="J45" s="149" t="s">
        <v>211</v>
      </c>
      <c r="K45" s="161">
        <v>1</v>
      </c>
    </row>
    <row r="46" spans="1:11">
      <c r="A46" s="146">
        <v>39</v>
      </c>
      <c r="B46" s="147" t="s">
        <v>30</v>
      </c>
      <c r="C46" s="147" t="s">
        <v>139</v>
      </c>
      <c r="D46" s="148" t="s">
        <v>32</v>
      </c>
      <c r="E46" s="148" t="s">
        <v>115</v>
      </c>
      <c r="F46" s="149">
        <v>328</v>
      </c>
      <c r="G46" s="149">
        <v>808</v>
      </c>
      <c r="H46" s="149">
        <v>18</v>
      </c>
      <c r="I46" s="149" t="s">
        <v>670</v>
      </c>
      <c r="J46" s="149" t="s">
        <v>671</v>
      </c>
      <c r="K46" s="161">
        <v>1</v>
      </c>
    </row>
    <row r="47" spans="1:11">
      <c r="A47" s="146">
        <v>40</v>
      </c>
      <c r="B47" s="147" t="s">
        <v>30</v>
      </c>
      <c r="C47" s="147" t="s">
        <v>129</v>
      </c>
      <c r="D47" s="148" t="s">
        <v>32</v>
      </c>
      <c r="E47" s="148" t="s">
        <v>115</v>
      </c>
      <c r="F47" s="149">
        <v>771</v>
      </c>
      <c r="G47" s="149">
        <v>294</v>
      </c>
      <c r="H47" s="149">
        <v>18</v>
      </c>
      <c r="I47" s="149" t="s">
        <v>668</v>
      </c>
      <c r="J47" s="149" t="s">
        <v>669</v>
      </c>
      <c r="K47" s="161">
        <v>1</v>
      </c>
    </row>
    <row r="48" spans="1:11">
      <c r="A48" s="146">
        <v>41</v>
      </c>
      <c r="B48" s="147" t="s">
        <v>30</v>
      </c>
      <c r="C48" s="147" t="s">
        <v>180</v>
      </c>
      <c r="D48" s="148" t="s">
        <v>32</v>
      </c>
      <c r="E48" s="148" t="s">
        <v>115</v>
      </c>
      <c r="F48" s="149">
        <v>771</v>
      </c>
      <c r="G48" s="149">
        <v>78</v>
      </c>
      <c r="H48" s="149">
        <v>18</v>
      </c>
      <c r="I48" s="149" t="s">
        <v>667</v>
      </c>
      <c r="J48" s="149" t="s">
        <v>211</v>
      </c>
      <c r="K48" s="161">
        <v>2</v>
      </c>
    </row>
    <row r="49" spans="1:11">
      <c r="A49" s="146">
        <v>42</v>
      </c>
      <c r="B49" s="147" t="s">
        <v>30</v>
      </c>
      <c r="C49" s="147" t="s">
        <v>165</v>
      </c>
      <c r="D49" s="148" t="s">
        <v>32</v>
      </c>
      <c r="E49" s="148" t="s">
        <v>115</v>
      </c>
      <c r="F49" s="149">
        <v>328</v>
      </c>
      <c r="G49" s="149">
        <v>772</v>
      </c>
      <c r="H49" s="149">
        <v>18</v>
      </c>
      <c r="I49" s="149" t="s">
        <v>670</v>
      </c>
      <c r="J49" s="149" t="s">
        <v>671</v>
      </c>
      <c r="K49" s="161">
        <v>2</v>
      </c>
    </row>
    <row r="50" spans="1:11">
      <c r="A50" s="146">
        <v>43</v>
      </c>
      <c r="B50" s="147" t="s">
        <v>30</v>
      </c>
      <c r="C50" s="147" t="s">
        <v>180</v>
      </c>
      <c r="D50" s="148" t="s">
        <v>32</v>
      </c>
      <c r="E50" s="148" t="s">
        <v>115</v>
      </c>
      <c r="F50" s="149">
        <v>780</v>
      </c>
      <c r="G50" s="149">
        <v>78</v>
      </c>
      <c r="H50" s="149">
        <v>18</v>
      </c>
      <c r="I50" s="149" t="s">
        <v>667</v>
      </c>
      <c r="J50" s="149" t="s">
        <v>211</v>
      </c>
      <c r="K50" s="161">
        <v>2</v>
      </c>
    </row>
    <row r="51" spans="1:11">
      <c r="A51" s="146">
        <v>44</v>
      </c>
      <c r="B51" s="147" t="s">
        <v>30</v>
      </c>
      <c r="C51" s="147" t="s">
        <v>129</v>
      </c>
      <c r="D51" s="148" t="s">
        <v>32</v>
      </c>
      <c r="E51" s="148" t="s">
        <v>115</v>
      </c>
      <c r="F51" s="149">
        <v>371</v>
      </c>
      <c r="G51" s="149">
        <v>294</v>
      </c>
      <c r="H51" s="149">
        <v>18</v>
      </c>
      <c r="I51" s="149" t="s">
        <v>668</v>
      </c>
      <c r="J51" s="149" t="s">
        <v>669</v>
      </c>
      <c r="K51" s="161">
        <v>1</v>
      </c>
    </row>
    <row r="52" spans="1:11">
      <c r="A52" s="146">
        <v>45</v>
      </c>
      <c r="B52" s="147" t="s">
        <v>30</v>
      </c>
      <c r="C52" s="147" t="s">
        <v>180</v>
      </c>
      <c r="D52" s="148" t="s">
        <v>32</v>
      </c>
      <c r="E52" s="148" t="s">
        <v>115</v>
      </c>
      <c r="F52" s="149">
        <v>371</v>
      </c>
      <c r="G52" s="149">
        <v>78</v>
      </c>
      <c r="H52" s="149">
        <v>18</v>
      </c>
      <c r="I52" s="149" t="s">
        <v>667</v>
      </c>
      <c r="J52" s="149" t="s">
        <v>211</v>
      </c>
      <c r="K52" s="161">
        <v>2</v>
      </c>
    </row>
    <row r="53" spans="1:11">
      <c r="A53" s="146">
        <v>46</v>
      </c>
      <c r="B53" s="147" t="s">
        <v>30</v>
      </c>
      <c r="C53" s="147" t="s">
        <v>142</v>
      </c>
      <c r="D53" s="148" t="s">
        <v>32</v>
      </c>
      <c r="E53" s="148" t="s">
        <v>115</v>
      </c>
      <c r="F53" s="149">
        <v>1962</v>
      </c>
      <c r="G53" s="149">
        <v>190</v>
      </c>
      <c r="H53" s="149">
        <v>18</v>
      </c>
      <c r="I53" s="149" t="s">
        <v>668</v>
      </c>
      <c r="J53" s="149" t="s">
        <v>669</v>
      </c>
      <c r="K53" s="161">
        <v>1</v>
      </c>
    </row>
    <row r="54" spans="1:11">
      <c r="A54" s="146">
        <v>47</v>
      </c>
      <c r="B54" s="147" t="s">
        <v>30</v>
      </c>
      <c r="C54" s="147" t="s">
        <v>134</v>
      </c>
      <c r="D54" s="148" t="s">
        <v>32</v>
      </c>
      <c r="E54" s="148" t="s">
        <v>115</v>
      </c>
      <c r="F54" s="149">
        <v>328</v>
      </c>
      <c r="G54" s="149">
        <v>808</v>
      </c>
      <c r="H54" s="149">
        <v>18</v>
      </c>
      <c r="I54" s="149" t="s">
        <v>670</v>
      </c>
      <c r="J54" s="149" t="s">
        <v>671</v>
      </c>
      <c r="K54" s="161">
        <v>1</v>
      </c>
    </row>
    <row r="55" spans="1:11">
      <c r="A55" s="146">
        <v>48</v>
      </c>
      <c r="B55" s="147" t="s">
        <v>30</v>
      </c>
      <c r="C55" s="147" t="s">
        <v>145</v>
      </c>
      <c r="D55" s="148" t="s">
        <v>32</v>
      </c>
      <c r="E55" s="148" t="s">
        <v>115</v>
      </c>
      <c r="F55" s="149">
        <v>1998</v>
      </c>
      <c r="G55" s="149">
        <v>48</v>
      </c>
      <c r="H55" s="149">
        <v>18</v>
      </c>
      <c r="I55" s="149" t="s">
        <v>667</v>
      </c>
      <c r="J55" s="149" t="s">
        <v>211</v>
      </c>
      <c r="K55" s="161">
        <v>1</v>
      </c>
    </row>
    <row r="56" spans="1:11">
      <c r="A56" s="146">
        <v>49</v>
      </c>
      <c r="B56" s="147" t="s">
        <v>30</v>
      </c>
      <c r="C56" s="147" t="s">
        <v>146</v>
      </c>
      <c r="D56" s="148" t="s">
        <v>32</v>
      </c>
      <c r="E56" s="148" t="s">
        <v>115</v>
      </c>
      <c r="F56" s="149">
        <v>1998</v>
      </c>
      <c r="G56" s="149">
        <v>78</v>
      </c>
      <c r="H56" s="149">
        <v>18</v>
      </c>
      <c r="I56" s="149" t="s">
        <v>667</v>
      </c>
      <c r="J56" s="149" t="s">
        <v>211</v>
      </c>
      <c r="K56" s="161">
        <v>1</v>
      </c>
    </row>
    <row r="57" spans="1:11">
      <c r="A57" s="146">
        <v>50</v>
      </c>
      <c r="B57" s="147" t="s">
        <v>30</v>
      </c>
      <c r="C57" s="147" t="s">
        <v>114</v>
      </c>
      <c r="D57" s="148" t="s">
        <v>32</v>
      </c>
      <c r="E57" s="148" t="s">
        <v>115</v>
      </c>
      <c r="F57" s="149">
        <v>176</v>
      </c>
      <c r="G57" s="149">
        <v>1962</v>
      </c>
      <c r="H57" s="149">
        <v>18</v>
      </c>
      <c r="I57" s="149" t="s">
        <v>667</v>
      </c>
      <c r="J57" s="149" t="s">
        <v>211</v>
      </c>
      <c r="K57" s="161">
        <v>1</v>
      </c>
    </row>
    <row r="58" spans="1:11">
      <c r="A58" s="146">
        <v>51</v>
      </c>
      <c r="B58" s="147" t="s">
        <v>30</v>
      </c>
      <c r="C58" s="147" t="s">
        <v>142</v>
      </c>
      <c r="D58" s="148" t="s">
        <v>32</v>
      </c>
      <c r="E58" s="148" t="s">
        <v>115</v>
      </c>
      <c r="F58" s="149">
        <v>1962</v>
      </c>
      <c r="G58" s="149">
        <v>118</v>
      </c>
      <c r="H58" s="149">
        <v>18</v>
      </c>
      <c r="I58" s="149" t="s">
        <v>667</v>
      </c>
      <c r="J58" s="149" t="s">
        <v>211</v>
      </c>
      <c r="K58" s="161">
        <v>1</v>
      </c>
    </row>
    <row r="59" spans="1:11">
      <c r="A59" s="146">
        <v>52</v>
      </c>
      <c r="B59" s="147" t="s">
        <v>36</v>
      </c>
      <c r="C59" s="147" t="s">
        <v>139</v>
      </c>
      <c r="D59" s="148" t="s">
        <v>32</v>
      </c>
      <c r="E59" s="148" t="s">
        <v>115</v>
      </c>
      <c r="F59" s="149">
        <v>328</v>
      </c>
      <c r="G59" s="149">
        <v>2368</v>
      </c>
      <c r="H59" s="149">
        <v>18</v>
      </c>
      <c r="I59" s="149" t="s">
        <v>670</v>
      </c>
      <c r="J59" s="149" t="s">
        <v>671</v>
      </c>
      <c r="K59" s="161">
        <v>1</v>
      </c>
    </row>
    <row r="60" spans="1:11">
      <c r="A60" s="146">
        <v>53</v>
      </c>
      <c r="B60" s="147" t="s">
        <v>36</v>
      </c>
      <c r="C60" s="147" t="s">
        <v>199</v>
      </c>
      <c r="D60" s="148" t="s">
        <v>32</v>
      </c>
      <c r="E60" s="148" t="s">
        <v>115</v>
      </c>
      <c r="F60" s="149">
        <v>430</v>
      </c>
      <c r="G60" s="149">
        <v>58</v>
      </c>
      <c r="H60" s="149">
        <v>18</v>
      </c>
      <c r="I60" s="149" t="s">
        <v>667</v>
      </c>
      <c r="J60" s="149" t="s">
        <v>211</v>
      </c>
      <c r="K60" s="161">
        <v>2</v>
      </c>
    </row>
    <row r="61" spans="1:11">
      <c r="A61" s="146">
        <v>54</v>
      </c>
      <c r="B61" s="147" t="s">
        <v>36</v>
      </c>
      <c r="C61" s="147" t="s">
        <v>117</v>
      </c>
      <c r="D61" s="148" t="s">
        <v>32</v>
      </c>
      <c r="E61" s="148" t="s">
        <v>115</v>
      </c>
      <c r="F61" s="149">
        <v>430</v>
      </c>
      <c r="G61" s="149">
        <v>328</v>
      </c>
      <c r="H61" s="149">
        <v>18</v>
      </c>
      <c r="I61" s="149" t="s">
        <v>668</v>
      </c>
      <c r="J61" s="149" t="s">
        <v>669</v>
      </c>
      <c r="K61" s="161">
        <v>1</v>
      </c>
    </row>
    <row r="62" spans="1:11">
      <c r="A62" s="146">
        <v>55</v>
      </c>
      <c r="B62" s="147" t="s">
        <v>36</v>
      </c>
      <c r="C62" s="147" t="s">
        <v>129</v>
      </c>
      <c r="D62" s="148" t="s">
        <v>32</v>
      </c>
      <c r="E62" s="148" t="s">
        <v>115</v>
      </c>
      <c r="F62" s="149">
        <v>430</v>
      </c>
      <c r="G62" s="149">
        <v>323</v>
      </c>
      <c r="H62" s="149">
        <v>18</v>
      </c>
      <c r="I62" s="149" t="s">
        <v>668</v>
      </c>
      <c r="J62" s="149" t="s">
        <v>669</v>
      </c>
      <c r="K62" s="161">
        <v>4</v>
      </c>
    </row>
    <row r="63" spans="1:11">
      <c r="A63" s="146">
        <v>56</v>
      </c>
      <c r="B63" s="147" t="s">
        <v>36</v>
      </c>
      <c r="C63" s="147" t="s">
        <v>142</v>
      </c>
      <c r="D63" s="148" t="s">
        <v>32</v>
      </c>
      <c r="E63" s="148" t="s">
        <v>115</v>
      </c>
      <c r="F63" s="149">
        <v>430</v>
      </c>
      <c r="G63" s="149">
        <v>190</v>
      </c>
      <c r="H63" s="149">
        <v>18</v>
      </c>
      <c r="I63" s="149" t="s">
        <v>668</v>
      </c>
      <c r="J63" s="149" t="s">
        <v>669</v>
      </c>
      <c r="K63" s="161">
        <v>1</v>
      </c>
    </row>
    <row r="64" spans="1:11">
      <c r="A64" s="146">
        <v>57</v>
      </c>
      <c r="B64" s="147" t="s">
        <v>36</v>
      </c>
      <c r="C64" s="147" t="s">
        <v>134</v>
      </c>
      <c r="D64" s="148" t="s">
        <v>32</v>
      </c>
      <c r="E64" s="148" t="s">
        <v>115</v>
      </c>
      <c r="F64" s="149">
        <v>328</v>
      </c>
      <c r="G64" s="149">
        <v>2368</v>
      </c>
      <c r="H64" s="149">
        <v>18</v>
      </c>
      <c r="I64" s="149" t="s">
        <v>670</v>
      </c>
      <c r="J64" s="149" t="s">
        <v>671</v>
      </c>
      <c r="K64" s="161">
        <v>1</v>
      </c>
    </row>
    <row r="65" spans="1:11">
      <c r="A65" s="146">
        <v>58</v>
      </c>
      <c r="B65" s="147" t="s">
        <v>36</v>
      </c>
      <c r="C65" s="147" t="s">
        <v>145</v>
      </c>
      <c r="D65" s="148" t="s">
        <v>32</v>
      </c>
      <c r="E65" s="148" t="s">
        <v>115</v>
      </c>
      <c r="F65" s="149">
        <v>466</v>
      </c>
      <c r="G65" s="149">
        <v>48</v>
      </c>
      <c r="H65" s="149">
        <v>18</v>
      </c>
      <c r="I65" s="149" t="s">
        <v>667</v>
      </c>
      <c r="J65" s="149" t="s">
        <v>211</v>
      </c>
      <c r="K65" s="161">
        <v>1</v>
      </c>
    </row>
    <row r="66" spans="1:11">
      <c r="A66" s="146">
        <v>59</v>
      </c>
      <c r="B66" s="147" t="s">
        <v>36</v>
      </c>
      <c r="C66" s="147" t="s">
        <v>146</v>
      </c>
      <c r="D66" s="148" t="s">
        <v>32</v>
      </c>
      <c r="E66" s="148" t="s">
        <v>115</v>
      </c>
      <c r="F66" s="149">
        <v>466</v>
      </c>
      <c r="G66" s="149">
        <v>78</v>
      </c>
      <c r="H66" s="149">
        <v>18</v>
      </c>
      <c r="I66" s="149" t="s">
        <v>667</v>
      </c>
      <c r="J66" s="149" t="s">
        <v>211</v>
      </c>
      <c r="K66" s="161">
        <v>1</v>
      </c>
    </row>
    <row r="67" spans="1:11">
      <c r="A67" s="146">
        <v>60</v>
      </c>
      <c r="B67" s="147" t="s">
        <v>36</v>
      </c>
      <c r="C67" s="147" t="s">
        <v>114</v>
      </c>
      <c r="D67" s="148" t="s">
        <v>32</v>
      </c>
      <c r="E67" s="148" t="s">
        <v>115</v>
      </c>
      <c r="F67" s="149">
        <v>176</v>
      </c>
      <c r="G67" s="149">
        <v>430</v>
      </c>
      <c r="H67" s="149">
        <v>18</v>
      </c>
      <c r="I67" s="149" t="s">
        <v>667</v>
      </c>
      <c r="J67" s="149" t="s">
        <v>211</v>
      </c>
      <c r="K67" s="161">
        <v>1</v>
      </c>
    </row>
    <row r="68" spans="1:11">
      <c r="A68" s="146">
        <v>61</v>
      </c>
      <c r="B68" s="147" t="s">
        <v>36</v>
      </c>
      <c r="C68" s="147" t="s">
        <v>142</v>
      </c>
      <c r="D68" s="148" t="s">
        <v>32</v>
      </c>
      <c r="E68" s="148" t="s">
        <v>115</v>
      </c>
      <c r="F68" s="149">
        <v>430</v>
      </c>
      <c r="G68" s="149">
        <v>118</v>
      </c>
      <c r="H68" s="149">
        <v>18</v>
      </c>
      <c r="I68" s="149" t="s">
        <v>667</v>
      </c>
      <c r="J68" s="149" t="s">
        <v>211</v>
      </c>
      <c r="K68" s="161">
        <v>1</v>
      </c>
    </row>
    <row r="69" spans="1:11">
      <c r="A69" s="146">
        <v>62</v>
      </c>
      <c r="B69" s="147" t="s">
        <v>552</v>
      </c>
      <c r="C69" s="147" t="s">
        <v>215</v>
      </c>
      <c r="D69" s="148" t="s">
        <v>32</v>
      </c>
      <c r="E69" s="148" t="s">
        <v>115</v>
      </c>
      <c r="F69" s="149">
        <v>198</v>
      </c>
      <c r="G69" s="149">
        <v>430</v>
      </c>
      <c r="H69" s="149">
        <v>18</v>
      </c>
      <c r="I69" s="149" t="s">
        <v>667</v>
      </c>
      <c r="J69" s="149" t="s">
        <v>211</v>
      </c>
      <c r="K69" s="161">
        <v>1</v>
      </c>
    </row>
    <row r="70" spans="1:11">
      <c r="A70" s="146">
        <v>63</v>
      </c>
      <c r="B70" s="147" t="s">
        <v>552</v>
      </c>
      <c r="C70" s="147" t="s">
        <v>217</v>
      </c>
      <c r="D70" s="148" t="s">
        <v>32</v>
      </c>
      <c r="E70" s="148" t="s">
        <v>115</v>
      </c>
      <c r="F70" s="149">
        <v>198</v>
      </c>
      <c r="G70" s="149">
        <v>412</v>
      </c>
      <c r="H70" s="149">
        <v>18</v>
      </c>
      <c r="I70" s="149" t="s">
        <v>667</v>
      </c>
      <c r="J70" s="149" t="s">
        <v>211</v>
      </c>
      <c r="K70" s="161">
        <v>5</v>
      </c>
    </row>
    <row r="71" spans="1:11">
      <c r="A71" s="146">
        <v>64</v>
      </c>
      <c r="B71" s="147" t="s">
        <v>552</v>
      </c>
      <c r="C71" s="147" t="s">
        <v>114</v>
      </c>
      <c r="D71" s="148" t="s">
        <v>32</v>
      </c>
      <c r="E71" s="148" t="s">
        <v>115</v>
      </c>
      <c r="F71" s="149">
        <v>2227</v>
      </c>
      <c r="G71" s="149">
        <v>198</v>
      </c>
      <c r="H71" s="149">
        <v>18</v>
      </c>
      <c r="I71" s="149" t="s">
        <v>667</v>
      </c>
      <c r="J71" s="149" t="s">
        <v>211</v>
      </c>
      <c r="K71" s="161">
        <v>1</v>
      </c>
    </row>
    <row r="72" spans="1:11">
      <c r="A72" s="146">
        <v>65</v>
      </c>
      <c r="B72" s="147" t="s">
        <v>552</v>
      </c>
      <c r="C72" s="147" t="s">
        <v>220</v>
      </c>
      <c r="D72" s="148" t="s">
        <v>32</v>
      </c>
      <c r="E72" s="148" t="s">
        <v>115</v>
      </c>
      <c r="F72" s="149">
        <v>198</v>
      </c>
      <c r="G72" s="149">
        <v>430</v>
      </c>
      <c r="H72" s="149">
        <v>18</v>
      </c>
      <c r="I72" s="149" t="s">
        <v>667</v>
      </c>
      <c r="J72" s="149" t="s">
        <v>211</v>
      </c>
      <c r="K72" s="161">
        <v>1</v>
      </c>
    </row>
    <row r="73" spans="1:11">
      <c r="A73" s="146">
        <v>66</v>
      </c>
      <c r="B73" s="147" t="s">
        <v>552</v>
      </c>
      <c r="C73" s="147" t="s">
        <v>221</v>
      </c>
      <c r="D73" s="148" t="s">
        <v>32</v>
      </c>
      <c r="E73" s="148" t="s">
        <v>115</v>
      </c>
      <c r="F73" s="149">
        <v>430</v>
      </c>
      <c r="G73" s="149">
        <v>2283</v>
      </c>
      <c r="H73" s="149">
        <v>18</v>
      </c>
      <c r="I73" s="149" t="s">
        <v>670</v>
      </c>
      <c r="J73" s="149" t="s">
        <v>671</v>
      </c>
      <c r="K73" s="161">
        <v>1</v>
      </c>
    </row>
    <row r="74" spans="1:11">
      <c r="A74" s="146">
        <v>67</v>
      </c>
      <c r="B74" s="147" t="s">
        <v>552</v>
      </c>
      <c r="C74" s="147" t="s">
        <v>223</v>
      </c>
      <c r="D74" s="148" t="s">
        <v>32</v>
      </c>
      <c r="E74" s="148" t="s">
        <v>115</v>
      </c>
      <c r="F74" s="149">
        <v>618</v>
      </c>
      <c r="G74" s="149">
        <v>2303</v>
      </c>
      <c r="H74" s="149">
        <v>18</v>
      </c>
      <c r="I74" s="149" t="s">
        <v>670</v>
      </c>
      <c r="J74" s="149" t="s">
        <v>671</v>
      </c>
      <c r="K74" s="161">
        <v>1</v>
      </c>
    </row>
    <row r="75" spans="1:11">
      <c r="A75" s="146">
        <v>68</v>
      </c>
      <c r="B75" s="147" t="s">
        <v>553</v>
      </c>
      <c r="C75" s="147" t="s">
        <v>114</v>
      </c>
      <c r="D75" s="148" t="s">
        <v>32</v>
      </c>
      <c r="E75" s="148" t="s">
        <v>115</v>
      </c>
      <c r="F75" s="149">
        <v>1848</v>
      </c>
      <c r="G75" s="149">
        <v>918</v>
      </c>
      <c r="H75" s="149">
        <v>18</v>
      </c>
      <c r="I75" s="149" t="s">
        <v>667</v>
      </c>
      <c r="J75" s="149" t="s">
        <v>211</v>
      </c>
      <c r="K75" s="161">
        <v>1</v>
      </c>
    </row>
    <row r="76" spans="1:11">
      <c r="A76" s="146">
        <v>69</v>
      </c>
      <c r="B76" s="147" t="s">
        <v>553</v>
      </c>
      <c r="C76" s="147" t="s">
        <v>110</v>
      </c>
      <c r="D76" s="148" t="s">
        <v>32</v>
      </c>
      <c r="E76" s="148" t="s">
        <v>115</v>
      </c>
      <c r="F76" s="149">
        <v>618</v>
      </c>
      <c r="G76" s="149">
        <v>403</v>
      </c>
      <c r="H76" s="149">
        <v>18</v>
      </c>
      <c r="I76" s="149" t="s">
        <v>670</v>
      </c>
      <c r="J76" s="149" t="s">
        <v>671</v>
      </c>
      <c r="K76" s="161">
        <v>1</v>
      </c>
    </row>
    <row r="77" spans="1:11">
      <c r="A77" s="146">
        <v>70</v>
      </c>
      <c r="B77" s="147" t="s">
        <v>553</v>
      </c>
      <c r="C77" s="147" t="s">
        <v>117</v>
      </c>
      <c r="D77" s="148" t="s">
        <v>32</v>
      </c>
      <c r="E77" s="148" t="s">
        <v>115</v>
      </c>
      <c r="F77" s="149">
        <v>882</v>
      </c>
      <c r="G77" s="149">
        <v>618</v>
      </c>
      <c r="H77" s="149">
        <v>18</v>
      </c>
      <c r="I77" s="149" t="s">
        <v>668</v>
      </c>
      <c r="J77" s="149" t="s">
        <v>669</v>
      </c>
      <c r="K77" s="161">
        <v>1</v>
      </c>
    </row>
    <row r="78" spans="1:11">
      <c r="A78" s="146">
        <v>71</v>
      </c>
      <c r="B78" s="147" t="s">
        <v>553</v>
      </c>
      <c r="C78" s="147" t="s">
        <v>180</v>
      </c>
      <c r="D78" s="148" t="s">
        <v>32</v>
      </c>
      <c r="E78" s="148" t="s">
        <v>115</v>
      </c>
      <c r="F78" s="149">
        <v>882</v>
      </c>
      <c r="G78" s="149">
        <v>78</v>
      </c>
      <c r="H78" s="149">
        <v>18</v>
      </c>
      <c r="I78" s="149" t="s">
        <v>667</v>
      </c>
      <c r="J78" s="149" t="s">
        <v>211</v>
      </c>
      <c r="K78" s="161">
        <v>2</v>
      </c>
    </row>
    <row r="79" spans="1:11">
      <c r="A79" s="146">
        <v>72</v>
      </c>
      <c r="B79" s="147" t="s">
        <v>553</v>
      </c>
      <c r="C79" s="147" t="s">
        <v>142</v>
      </c>
      <c r="D79" s="148" t="s">
        <v>32</v>
      </c>
      <c r="E79" s="148" t="s">
        <v>115</v>
      </c>
      <c r="F79" s="149">
        <v>882</v>
      </c>
      <c r="G79" s="149">
        <v>618</v>
      </c>
      <c r="H79" s="149">
        <v>18</v>
      </c>
      <c r="I79" s="149" t="s">
        <v>668</v>
      </c>
      <c r="J79" s="149" t="s">
        <v>669</v>
      </c>
      <c r="K79" s="161">
        <v>1</v>
      </c>
    </row>
    <row r="80" spans="1:11">
      <c r="A80" s="146">
        <v>73</v>
      </c>
      <c r="B80" s="147" t="s">
        <v>553</v>
      </c>
      <c r="C80" s="147" t="s">
        <v>223</v>
      </c>
      <c r="D80" s="148" t="s">
        <v>32</v>
      </c>
      <c r="E80" s="148" t="s">
        <v>115</v>
      </c>
      <c r="F80" s="149">
        <v>618</v>
      </c>
      <c r="G80" s="149">
        <v>403</v>
      </c>
      <c r="H80" s="149">
        <v>18</v>
      </c>
      <c r="I80" s="149" t="s">
        <v>670</v>
      </c>
      <c r="J80" s="149" t="s">
        <v>671</v>
      </c>
      <c r="K80" s="161">
        <v>1</v>
      </c>
    </row>
    <row r="81" spans="1:11">
      <c r="A81" s="146">
        <v>74</v>
      </c>
      <c r="B81" s="147" t="s">
        <v>553</v>
      </c>
      <c r="C81" s="147" t="s">
        <v>145</v>
      </c>
      <c r="D81" s="148" t="s">
        <v>32</v>
      </c>
      <c r="E81" s="148" t="s">
        <v>115</v>
      </c>
      <c r="F81" s="149">
        <v>918</v>
      </c>
      <c r="G81" s="149">
        <v>48</v>
      </c>
      <c r="H81" s="149">
        <v>18</v>
      </c>
      <c r="I81" s="149" t="s">
        <v>667</v>
      </c>
      <c r="J81" s="149" t="s">
        <v>211</v>
      </c>
      <c r="K81" s="161">
        <v>1</v>
      </c>
    </row>
    <row r="82" spans="1:11">
      <c r="A82" s="146">
        <v>75</v>
      </c>
      <c r="B82" s="147" t="s">
        <v>553</v>
      </c>
      <c r="C82" s="147" t="s">
        <v>146</v>
      </c>
      <c r="D82" s="148" t="s">
        <v>32</v>
      </c>
      <c r="E82" s="148" t="s">
        <v>115</v>
      </c>
      <c r="F82" s="149">
        <v>918</v>
      </c>
      <c r="G82" s="149">
        <v>78</v>
      </c>
      <c r="H82" s="149">
        <v>18</v>
      </c>
      <c r="I82" s="149" t="s">
        <v>667</v>
      </c>
      <c r="J82" s="149" t="s">
        <v>211</v>
      </c>
      <c r="K82" s="161">
        <v>1</v>
      </c>
    </row>
    <row r="83" spans="1:11">
      <c r="A83" s="146">
        <v>76</v>
      </c>
      <c r="B83" s="147" t="s">
        <v>554</v>
      </c>
      <c r="C83" s="147" t="s">
        <v>110</v>
      </c>
      <c r="D83" s="148" t="s">
        <v>32</v>
      </c>
      <c r="E83" s="148" t="s">
        <v>115</v>
      </c>
      <c r="F83" s="149">
        <v>618</v>
      </c>
      <c r="G83" s="149">
        <v>2303</v>
      </c>
      <c r="H83" s="149">
        <v>18</v>
      </c>
      <c r="I83" s="149" t="s">
        <v>670</v>
      </c>
      <c r="J83" s="149" t="s">
        <v>671</v>
      </c>
      <c r="K83" s="161">
        <v>1</v>
      </c>
    </row>
    <row r="84" spans="1:11">
      <c r="A84" s="146">
        <v>77</v>
      </c>
      <c r="B84" s="147" t="s">
        <v>554</v>
      </c>
      <c r="C84" s="147" t="s">
        <v>199</v>
      </c>
      <c r="D84" s="148" t="s">
        <v>32</v>
      </c>
      <c r="E84" s="148" t="s">
        <v>115</v>
      </c>
      <c r="F84" s="149">
        <v>659</v>
      </c>
      <c r="G84" s="149">
        <v>108</v>
      </c>
      <c r="H84" s="149">
        <v>18</v>
      </c>
      <c r="I84" s="149" t="s">
        <v>667</v>
      </c>
      <c r="J84" s="149" t="s">
        <v>211</v>
      </c>
      <c r="K84" s="161">
        <v>2</v>
      </c>
    </row>
    <row r="85" spans="1:11">
      <c r="A85" s="146">
        <v>78</v>
      </c>
      <c r="B85" s="147" t="s">
        <v>554</v>
      </c>
      <c r="C85" s="147" t="s">
        <v>117</v>
      </c>
      <c r="D85" s="148" t="s">
        <v>32</v>
      </c>
      <c r="E85" s="148" t="s">
        <v>115</v>
      </c>
      <c r="F85" s="149">
        <v>659</v>
      </c>
      <c r="G85" s="149">
        <v>618</v>
      </c>
      <c r="H85" s="149">
        <v>18</v>
      </c>
      <c r="I85" s="149" t="s">
        <v>668</v>
      </c>
      <c r="J85" s="149" t="s">
        <v>669</v>
      </c>
      <c r="K85" s="161">
        <v>1</v>
      </c>
    </row>
    <row r="86" spans="1:11">
      <c r="A86" s="146">
        <v>79</v>
      </c>
      <c r="B86" s="147" t="s">
        <v>554</v>
      </c>
      <c r="C86" s="147" t="s">
        <v>129</v>
      </c>
      <c r="D86" s="148" t="s">
        <v>32</v>
      </c>
      <c r="E86" s="148" t="s">
        <v>115</v>
      </c>
      <c r="F86" s="149">
        <v>659</v>
      </c>
      <c r="G86" s="149">
        <v>584</v>
      </c>
      <c r="H86" s="149">
        <v>18</v>
      </c>
      <c r="I86" s="149" t="s">
        <v>668</v>
      </c>
      <c r="J86" s="149" t="s">
        <v>669</v>
      </c>
      <c r="K86" s="161">
        <v>2</v>
      </c>
    </row>
    <row r="87" spans="1:11">
      <c r="A87" s="146">
        <v>80</v>
      </c>
      <c r="B87" s="147" t="s">
        <v>554</v>
      </c>
      <c r="C87" s="147" t="s">
        <v>129</v>
      </c>
      <c r="D87" s="148" t="s">
        <v>32</v>
      </c>
      <c r="E87" s="148" t="s">
        <v>115</v>
      </c>
      <c r="F87" s="149">
        <v>659</v>
      </c>
      <c r="G87" s="149">
        <v>618</v>
      </c>
      <c r="H87" s="149">
        <v>18</v>
      </c>
      <c r="I87" s="149" t="s">
        <v>668</v>
      </c>
      <c r="J87" s="149" t="s">
        <v>669</v>
      </c>
      <c r="K87" s="161">
        <v>2</v>
      </c>
    </row>
    <row r="88" spans="1:11">
      <c r="A88" s="146">
        <v>81</v>
      </c>
      <c r="B88" s="147" t="s">
        <v>554</v>
      </c>
      <c r="C88" s="147" t="s">
        <v>223</v>
      </c>
      <c r="D88" s="148" t="s">
        <v>32</v>
      </c>
      <c r="E88" s="148" t="s">
        <v>115</v>
      </c>
      <c r="F88" s="149">
        <v>618</v>
      </c>
      <c r="G88" s="149">
        <v>448</v>
      </c>
      <c r="H88" s="149">
        <v>18</v>
      </c>
      <c r="I88" s="149" t="s">
        <v>667</v>
      </c>
      <c r="J88" s="149" t="s">
        <v>211</v>
      </c>
      <c r="K88" s="161">
        <v>1</v>
      </c>
    </row>
    <row r="89" spans="1:11">
      <c r="A89" s="146">
        <v>82</v>
      </c>
      <c r="B89" s="147" t="s">
        <v>554</v>
      </c>
      <c r="C89" s="147" t="s">
        <v>110</v>
      </c>
      <c r="D89" s="148" t="s">
        <v>32</v>
      </c>
      <c r="E89" s="148" t="s">
        <v>115</v>
      </c>
      <c r="F89" s="149">
        <v>618</v>
      </c>
      <c r="G89" s="149">
        <v>448</v>
      </c>
      <c r="H89" s="149">
        <v>18</v>
      </c>
      <c r="I89" s="149" t="s">
        <v>667</v>
      </c>
      <c r="J89" s="149" t="s">
        <v>211</v>
      </c>
      <c r="K89" s="161">
        <v>1</v>
      </c>
    </row>
    <row r="90" spans="1:11">
      <c r="A90" s="146">
        <v>83</v>
      </c>
      <c r="B90" s="147" t="s">
        <v>554</v>
      </c>
      <c r="C90" s="147" t="s">
        <v>129</v>
      </c>
      <c r="D90" s="148" t="s">
        <v>32</v>
      </c>
      <c r="E90" s="148" t="s">
        <v>115</v>
      </c>
      <c r="F90" s="149">
        <v>659</v>
      </c>
      <c r="G90" s="149">
        <v>613</v>
      </c>
      <c r="H90" s="149">
        <v>18</v>
      </c>
      <c r="I90" s="149" t="s">
        <v>668</v>
      </c>
      <c r="J90" s="149" t="s">
        <v>669</v>
      </c>
      <c r="K90" s="161">
        <v>1</v>
      </c>
    </row>
    <row r="91" spans="1:11">
      <c r="A91" s="146">
        <v>84</v>
      </c>
      <c r="B91" s="147" t="s">
        <v>554</v>
      </c>
      <c r="C91" s="147" t="s">
        <v>142</v>
      </c>
      <c r="D91" s="148" t="s">
        <v>32</v>
      </c>
      <c r="E91" s="148" t="s">
        <v>115</v>
      </c>
      <c r="F91" s="149">
        <v>659</v>
      </c>
      <c r="G91" s="149">
        <v>618</v>
      </c>
      <c r="H91" s="149">
        <v>18</v>
      </c>
      <c r="I91" s="149" t="s">
        <v>668</v>
      </c>
      <c r="J91" s="149" t="s">
        <v>669</v>
      </c>
      <c r="K91" s="161">
        <v>1</v>
      </c>
    </row>
    <row r="92" spans="1:11">
      <c r="A92" s="146">
        <v>85</v>
      </c>
      <c r="B92" s="147" t="s">
        <v>554</v>
      </c>
      <c r="C92" s="147" t="s">
        <v>145</v>
      </c>
      <c r="D92" s="148" t="s">
        <v>32</v>
      </c>
      <c r="E92" s="148" t="s">
        <v>115</v>
      </c>
      <c r="F92" s="149">
        <v>659</v>
      </c>
      <c r="G92" s="149">
        <v>48</v>
      </c>
      <c r="H92" s="149">
        <v>18</v>
      </c>
      <c r="I92" s="149" t="s">
        <v>667</v>
      </c>
      <c r="J92" s="149" t="s">
        <v>211</v>
      </c>
      <c r="K92" s="161">
        <v>1</v>
      </c>
    </row>
    <row r="93" spans="1:11">
      <c r="A93" s="146">
        <v>86</v>
      </c>
      <c r="B93" s="147" t="s">
        <v>554</v>
      </c>
      <c r="C93" s="147" t="s">
        <v>146</v>
      </c>
      <c r="D93" s="148" t="s">
        <v>32</v>
      </c>
      <c r="E93" s="148" t="s">
        <v>115</v>
      </c>
      <c r="F93" s="149">
        <v>659</v>
      </c>
      <c r="G93" s="149">
        <v>78</v>
      </c>
      <c r="H93" s="149">
        <v>18</v>
      </c>
      <c r="I93" s="149" t="s">
        <v>667</v>
      </c>
      <c r="J93" s="149" t="s">
        <v>211</v>
      </c>
      <c r="K93" s="161">
        <v>1</v>
      </c>
    </row>
    <row r="94" spans="1:11">
      <c r="A94" s="146">
        <v>87</v>
      </c>
      <c r="B94" s="147" t="s">
        <v>554</v>
      </c>
      <c r="C94" s="147" t="s">
        <v>223</v>
      </c>
      <c r="D94" s="148" t="s">
        <v>32</v>
      </c>
      <c r="E94" s="148" t="s">
        <v>115</v>
      </c>
      <c r="F94" s="149">
        <v>618</v>
      </c>
      <c r="G94" s="149">
        <v>2303</v>
      </c>
      <c r="H94" s="149">
        <v>18</v>
      </c>
      <c r="I94" s="149" t="s">
        <v>670</v>
      </c>
      <c r="J94" s="149" t="s">
        <v>671</v>
      </c>
      <c r="K94" s="161">
        <v>1</v>
      </c>
    </row>
    <row r="95" spans="1:11">
      <c r="A95" s="146">
        <v>88</v>
      </c>
      <c r="B95" s="147" t="s">
        <v>555</v>
      </c>
      <c r="C95" s="147" t="s">
        <v>110</v>
      </c>
      <c r="D95" s="148" t="s">
        <v>32</v>
      </c>
      <c r="E95" s="148" t="s">
        <v>115</v>
      </c>
      <c r="F95" s="149">
        <v>578</v>
      </c>
      <c r="G95" s="149">
        <v>865</v>
      </c>
      <c r="H95" s="149">
        <v>18</v>
      </c>
      <c r="I95" s="149" t="s">
        <v>670</v>
      </c>
      <c r="J95" s="149" t="s">
        <v>671</v>
      </c>
      <c r="K95" s="161">
        <v>1</v>
      </c>
    </row>
    <row r="96" spans="1:11">
      <c r="A96" s="146">
        <v>89</v>
      </c>
      <c r="B96" s="147" t="s">
        <v>555</v>
      </c>
      <c r="C96" s="147" t="s">
        <v>117</v>
      </c>
      <c r="D96" s="148" t="s">
        <v>32</v>
      </c>
      <c r="E96" s="148" t="s">
        <v>115</v>
      </c>
      <c r="F96" s="149">
        <v>335</v>
      </c>
      <c r="G96" s="149">
        <v>578</v>
      </c>
      <c r="H96" s="149">
        <v>18</v>
      </c>
      <c r="I96" s="149" t="s">
        <v>668</v>
      </c>
      <c r="J96" s="149" t="s">
        <v>669</v>
      </c>
      <c r="K96" s="161">
        <v>1</v>
      </c>
    </row>
    <row r="97" spans="1:11">
      <c r="A97" s="146">
        <v>90</v>
      </c>
      <c r="B97" s="147" t="s">
        <v>555</v>
      </c>
      <c r="C97" s="147" t="s">
        <v>110</v>
      </c>
      <c r="D97" s="148" t="s">
        <v>32</v>
      </c>
      <c r="E97" s="148" t="s">
        <v>115</v>
      </c>
      <c r="F97" s="149">
        <v>578</v>
      </c>
      <c r="G97" s="149">
        <v>737</v>
      </c>
      <c r="H97" s="149">
        <v>18</v>
      </c>
      <c r="I97" s="149" t="s">
        <v>670</v>
      </c>
      <c r="J97" s="149" t="s">
        <v>671</v>
      </c>
      <c r="K97" s="161">
        <v>1</v>
      </c>
    </row>
    <row r="98" spans="1:11">
      <c r="A98" s="146">
        <v>91</v>
      </c>
      <c r="B98" s="147" t="s">
        <v>555</v>
      </c>
      <c r="C98" s="147" t="s">
        <v>129</v>
      </c>
      <c r="D98" s="148" t="s">
        <v>32</v>
      </c>
      <c r="E98" s="148" t="s">
        <v>115</v>
      </c>
      <c r="F98" s="149">
        <v>299</v>
      </c>
      <c r="G98" s="149">
        <v>544</v>
      </c>
      <c r="H98" s="149">
        <v>18</v>
      </c>
      <c r="I98" s="149" t="s">
        <v>668</v>
      </c>
      <c r="J98" s="149" t="s">
        <v>669</v>
      </c>
      <c r="K98" s="161">
        <v>1</v>
      </c>
    </row>
    <row r="99" spans="1:11">
      <c r="A99" s="146">
        <v>92</v>
      </c>
      <c r="B99" s="147" t="s">
        <v>555</v>
      </c>
      <c r="C99" s="147" t="s">
        <v>261</v>
      </c>
      <c r="D99" s="148" t="s">
        <v>32</v>
      </c>
      <c r="E99" s="148" t="s">
        <v>115</v>
      </c>
      <c r="F99" s="149">
        <v>299</v>
      </c>
      <c r="G99" s="149">
        <v>58</v>
      </c>
      <c r="H99" s="149">
        <v>18</v>
      </c>
      <c r="I99" s="149" t="s">
        <v>667</v>
      </c>
      <c r="J99" s="149" t="s">
        <v>211</v>
      </c>
      <c r="K99" s="161">
        <v>2</v>
      </c>
    </row>
    <row r="100" spans="1:11">
      <c r="A100" s="146">
        <v>93</v>
      </c>
      <c r="B100" s="147" t="s">
        <v>555</v>
      </c>
      <c r="C100" s="147" t="s">
        <v>223</v>
      </c>
      <c r="D100" s="148" t="s">
        <v>32</v>
      </c>
      <c r="E100" s="148" t="s">
        <v>115</v>
      </c>
      <c r="F100" s="149">
        <v>578</v>
      </c>
      <c r="G100" s="149">
        <v>737</v>
      </c>
      <c r="H100" s="149">
        <v>18</v>
      </c>
      <c r="I100" s="149" t="s">
        <v>670</v>
      </c>
      <c r="J100" s="149" t="s">
        <v>671</v>
      </c>
      <c r="K100" s="161">
        <v>1</v>
      </c>
    </row>
    <row r="101" spans="1:11">
      <c r="A101" s="146">
        <v>94</v>
      </c>
      <c r="B101" s="147" t="s">
        <v>555</v>
      </c>
      <c r="C101" s="147" t="s">
        <v>142</v>
      </c>
      <c r="D101" s="148" t="s">
        <v>32</v>
      </c>
      <c r="E101" s="148" t="s">
        <v>115</v>
      </c>
      <c r="F101" s="149">
        <v>1008</v>
      </c>
      <c r="G101" s="149">
        <v>578</v>
      </c>
      <c r="H101" s="149">
        <v>18</v>
      </c>
      <c r="I101" s="149" t="s">
        <v>668</v>
      </c>
      <c r="J101" s="149" t="s">
        <v>669</v>
      </c>
      <c r="K101" s="161">
        <v>1</v>
      </c>
    </row>
    <row r="102" spans="1:11">
      <c r="A102" s="146">
        <v>95</v>
      </c>
      <c r="B102" s="147" t="s">
        <v>556</v>
      </c>
      <c r="C102" s="147" t="s">
        <v>199</v>
      </c>
      <c r="D102" s="148" t="s">
        <v>32</v>
      </c>
      <c r="E102" s="148" t="s">
        <v>115</v>
      </c>
      <c r="F102" s="149">
        <v>784</v>
      </c>
      <c r="G102" s="149">
        <v>58</v>
      </c>
      <c r="H102" s="149">
        <v>18</v>
      </c>
      <c r="I102" s="149" t="s">
        <v>667</v>
      </c>
      <c r="J102" s="149" t="s">
        <v>211</v>
      </c>
      <c r="K102" s="161">
        <v>1</v>
      </c>
    </row>
    <row r="103" spans="1:11">
      <c r="A103" s="146">
        <v>96</v>
      </c>
      <c r="B103" s="147" t="s">
        <v>556</v>
      </c>
      <c r="C103" s="147" t="s">
        <v>199</v>
      </c>
      <c r="D103" s="148" t="s">
        <v>32</v>
      </c>
      <c r="E103" s="148" t="s">
        <v>115</v>
      </c>
      <c r="F103" s="149">
        <v>302</v>
      </c>
      <c r="G103" s="149">
        <v>58</v>
      </c>
      <c r="H103" s="149">
        <v>18</v>
      </c>
      <c r="I103" s="149" t="s">
        <v>667</v>
      </c>
      <c r="J103" s="149" t="s">
        <v>211</v>
      </c>
      <c r="K103" s="161">
        <v>1</v>
      </c>
    </row>
    <row r="104" spans="1:11">
      <c r="A104" s="146">
        <v>97</v>
      </c>
      <c r="B104" s="147" t="s">
        <v>556</v>
      </c>
      <c r="C104" s="147" t="s">
        <v>215</v>
      </c>
      <c r="D104" s="148" t="s">
        <v>32</v>
      </c>
      <c r="E104" s="148" t="s">
        <v>115</v>
      </c>
      <c r="F104" s="149">
        <v>784</v>
      </c>
      <c r="G104" s="149">
        <v>568</v>
      </c>
      <c r="H104" s="149">
        <v>18</v>
      </c>
      <c r="I104" s="149" t="s">
        <v>668</v>
      </c>
      <c r="J104" s="149" t="s">
        <v>669</v>
      </c>
      <c r="K104" s="161">
        <v>1</v>
      </c>
    </row>
    <row r="105" spans="1:11">
      <c r="A105" s="146">
        <v>98</v>
      </c>
      <c r="B105" s="147" t="s">
        <v>556</v>
      </c>
      <c r="C105" s="147" t="s">
        <v>217</v>
      </c>
      <c r="D105" s="148" t="s">
        <v>32</v>
      </c>
      <c r="E105" s="148" t="s">
        <v>115</v>
      </c>
      <c r="F105" s="149">
        <v>784</v>
      </c>
      <c r="G105" s="149">
        <v>534</v>
      </c>
      <c r="H105" s="149">
        <v>18</v>
      </c>
      <c r="I105" s="149" t="s">
        <v>668</v>
      </c>
      <c r="J105" s="149" t="s">
        <v>669</v>
      </c>
      <c r="K105" s="161">
        <v>2</v>
      </c>
    </row>
    <row r="106" spans="1:11">
      <c r="A106" s="146">
        <v>99</v>
      </c>
      <c r="B106" s="147" t="s">
        <v>556</v>
      </c>
      <c r="C106" s="147" t="s">
        <v>217</v>
      </c>
      <c r="D106" s="148" t="s">
        <v>32</v>
      </c>
      <c r="E106" s="148" t="s">
        <v>115</v>
      </c>
      <c r="F106" s="149">
        <v>784</v>
      </c>
      <c r="G106" s="149">
        <v>568</v>
      </c>
      <c r="H106" s="149">
        <v>18</v>
      </c>
      <c r="I106" s="149" t="s">
        <v>668</v>
      </c>
      <c r="J106" s="149" t="s">
        <v>669</v>
      </c>
      <c r="K106" s="161">
        <v>1</v>
      </c>
    </row>
    <row r="107" spans="1:11">
      <c r="A107" s="146">
        <v>100</v>
      </c>
      <c r="B107" s="147" t="s">
        <v>556</v>
      </c>
      <c r="C107" s="147" t="s">
        <v>220</v>
      </c>
      <c r="D107" s="148" t="s">
        <v>32</v>
      </c>
      <c r="E107" s="148" t="s">
        <v>115</v>
      </c>
      <c r="F107" s="149">
        <v>784</v>
      </c>
      <c r="G107" s="149">
        <v>568</v>
      </c>
      <c r="H107" s="149">
        <v>18</v>
      </c>
      <c r="I107" s="149" t="s">
        <v>668</v>
      </c>
      <c r="J107" s="149" t="s">
        <v>669</v>
      </c>
      <c r="K107" s="161">
        <v>1</v>
      </c>
    </row>
    <row r="108" spans="1:11">
      <c r="A108" s="146">
        <v>101</v>
      </c>
      <c r="B108" s="147" t="s">
        <v>556</v>
      </c>
      <c r="C108" s="147" t="s">
        <v>223</v>
      </c>
      <c r="D108" s="148" t="s">
        <v>32</v>
      </c>
      <c r="E108" s="148" t="s">
        <v>115</v>
      </c>
      <c r="F108" s="149">
        <v>350</v>
      </c>
      <c r="G108" s="149">
        <v>2323</v>
      </c>
      <c r="H108" s="149">
        <v>18</v>
      </c>
      <c r="I108" s="149" t="s">
        <v>670</v>
      </c>
      <c r="J108" s="149" t="s">
        <v>671</v>
      </c>
      <c r="K108" s="161">
        <v>1</v>
      </c>
    </row>
    <row r="109" spans="1:11">
      <c r="A109" s="146">
        <v>102</v>
      </c>
      <c r="B109" s="147" t="s">
        <v>556</v>
      </c>
      <c r="C109" s="147" t="s">
        <v>146</v>
      </c>
      <c r="D109" s="148" t="s">
        <v>32</v>
      </c>
      <c r="E109" s="148" t="s">
        <v>115</v>
      </c>
      <c r="F109" s="149">
        <v>820</v>
      </c>
      <c r="G109" s="149">
        <v>78</v>
      </c>
      <c r="H109" s="149">
        <v>18</v>
      </c>
      <c r="I109" s="149" t="s">
        <v>667</v>
      </c>
      <c r="J109" s="149" t="s">
        <v>211</v>
      </c>
      <c r="K109" s="161">
        <v>1</v>
      </c>
    </row>
    <row r="110" spans="1:11">
      <c r="A110" s="146">
        <v>103</v>
      </c>
      <c r="B110" s="147" t="s">
        <v>556</v>
      </c>
      <c r="C110" s="147" t="s">
        <v>114</v>
      </c>
      <c r="D110" s="148" t="s">
        <v>32</v>
      </c>
      <c r="E110" s="148" t="s">
        <v>115</v>
      </c>
      <c r="F110" s="149">
        <v>2323</v>
      </c>
      <c r="G110" s="149">
        <v>198</v>
      </c>
      <c r="H110" s="149">
        <v>18</v>
      </c>
      <c r="I110" s="149" t="s">
        <v>667</v>
      </c>
      <c r="J110" s="149" t="s">
        <v>211</v>
      </c>
      <c r="K110" s="161">
        <v>1</v>
      </c>
    </row>
    <row r="111" spans="1:11">
      <c r="A111" s="146">
        <v>104</v>
      </c>
      <c r="B111" s="147" t="s">
        <v>556</v>
      </c>
      <c r="C111" s="147" t="s">
        <v>139</v>
      </c>
      <c r="D111" s="148" t="s">
        <v>32</v>
      </c>
      <c r="E111" s="148" t="s">
        <v>115</v>
      </c>
      <c r="F111" s="149">
        <v>98</v>
      </c>
      <c r="G111" s="149">
        <v>2323</v>
      </c>
      <c r="H111" s="149">
        <v>18</v>
      </c>
      <c r="I111" s="149" t="s">
        <v>667</v>
      </c>
      <c r="J111" s="149" t="s">
        <v>211</v>
      </c>
      <c r="K111" s="161">
        <v>1</v>
      </c>
    </row>
    <row r="112" spans="1:11">
      <c r="A112" s="146">
        <v>105</v>
      </c>
      <c r="B112" s="147" t="s">
        <v>556</v>
      </c>
      <c r="C112" s="147" t="s">
        <v>114</v>
      </c>
      <c r="D112" s="148" t="s">
        <v>32</v>
      </c>
      <c r="E112" s="148" t="s">
        <v>115</v>
      </c>
      <c r="F112" s="149">
        <v>2323</v>
      </c>
      <c r="G112" s="149">
        <v>298</v>
      </c>
      <c r="H112" s="149">
        <v>18</v>
      </c>
      <c r="I112" s="149" t="s">
        <v>667</v>
      </c>
      <c r="J112" s="149" t="s">
        <v>211</v>
      </c>
      <c r="K112" s="161">
        <v>1</v>
      </c>
    </row>
    <row r="113" spans="1:11">
      <c r="A113" s="146">
        <v>106</v>
      </c>
      <c r="B113" s="147" t="s">
        <v>556</v>
      </c>
      <c r="C113" s="147" t="s">
        <v>110</v>
      </c>
      <c r="D113" s="148" t="s">
        <v>32</v>
      </c>
      <c r="E113" s="148" t="s">
        <v>115</v>
      </c>
      <c r="F113" s="149">
        <v>98</v>
      </c>
      <c r="G113" s="149">
        <v>2323</v>
      </c>
      <c r="H113" s="149">
        <v>18</v>
      </c>
      <c r="I113" s="149" t="s">
        <v>667</v>
      </c>
      <c r="J113" s="149" t="s">
        <v>211</v>
      </c>
      <c r="K113" s="161">
        <v>1</v>
      </c>
    </row>
    <row r="114" spans="1:11">
      <c r="A114" s="146">
        <v>107</v>
      </c>
      <c r="B114" s="147" t="s">
        <v>557</v>
      </c>
      <c r="C114" s="147" t="s">
        <v>117</v>
      </c>
      <c r="D114" s="148" t="s">
        <v>32</v>
      </c>
      <c r="E114" s="148" t="s">
        <v>115</v>
      </c>
      <c r="F114" s="149">
        <v>1633</v>
      </c>
      <c r="G114" s="149">
        <v>387</v>
      </c>
      <c r="H114" s="149">
        <v>18</v>
      </c>
      <c r="I114" s="149" t="s">
        <v>668</v>
      </c>
      <c r="J114" s="149" t="s">
        <v>669</v>
      </c>
      <c r="K114" s="161">
        <v>1</v>
      </c>
    </row>
    <row r="115" spans="1:11">
      <c r="A115" s="146">
        <v>108</v>
      </c>
      <c r="B115" s="147" t="s">
        <v>557</v>
      </c>
      <c r="C115" s="147" t="s">
        <v>110</v>
      </c>
      <c r="D115" s="148" t="s">
        <v>32</v>
      </c>
      <c r="E115" s="148" t="s">
        <v>115</v>
      </c>
      <c r="F115" s="149">
        <v>387</v>
      </c>
      <c r="G115" s="149">
        <v>150</v>
      </c>
      <c r="H115" s="149">
        <v>18</v>
      </c>
      <c r="I115" s="149" t="s">
        <v>670</v>
      </c>
      <c r="J115" s="149" t="s">
        <v>671</v>
      </c>
      <c r="K115" s="161">
        <v>1</v>
      </c>
    </row>
    <row r="116" spans="1:11">
      <c r="A116" s="146">
        <v>109</v>
      </c>
      <c r="B116" s="147" t="s">
        <v>557</v>
      </c>
      <c r="C116" s="147" t="s">
        <v>121</v>
      </c>
      <c r="D116" s="148" t="s">
        <v>32</v>
      </c>
      <c r="E116" s="148" t="s">
        <v>115</v>
      </c>
      <c r="F116" s="149">
        <v>376</v>
      </c>
      <c r="G116" s="149">
        <v>128</v>
      </c>
      <c r="H116" s="149">
        <v>18</v>
      </c>
      <c r="I116" s="149" t="s">
        <v>667</v>
      </c>
      <c r="J116" s="149" t="s">
        <v>211</v>
      </c>
      <c r="K116" s="161">
        <v>1</v>
      </c>
    </row>
    <row r="117" spans="1:11">
      <c r="A117" s="146">
        <v>110</v>
      </c>
      <c r="B117" s="147" t="s">
        <v>557</v>
      </c>
      <c r="C117" s="147" t="s">
        <v>123</v>
      </c>
      <c r="D117" s="148" t="s">
        <v>32</v>
      </c>
      <c r="E117" s="148" t="s">
        <v>115</v>
      </c>
      <c r="F117" s="149">
        <v>376</v>
      </c>
      <c r="G117" s="149">
        <v>128</v>
      </c>
      <c r="H117" s="149">
        <v>18</v>
      </c>
      <c r="I117" s="149" t="s">
        <v>667</v>
      </c>
      <c r="J117" s="149" t="s">
        <v>211</v>
      </c>
      <c r="K117" s="161">
        <v>1</v>
      </c>
    </row>
    <row r="118" spans="1:11">
      <c r="A118" s="146">
        <v>111</v>
      </c>
      <c r="B118" s="147" t="s">
        <v>557</v>
      </c>
      <c r="C118" s="147" t="s">
        <v>124</v>
      </c>
      <c r="D118" s="148" t="s">
        <v>32</v>
      </c>
      <c r="E118" s="148" t="s">
        <v>115</v>
      </c>
      <c r="F118" s="149">
        <v>348</v>
      </c>
      <c r="G118" s="149">
        <v>128</v>
      </c>
      <c r="H118" s="149">
        <v>18</v>
      </c>
      <c r="I118" s="149" t="s">
        <v>667</v>
      </c>
      <c r="J118" s="149" t="s">
        <v>211</v>
      </c>
      <c r="K118" s="161">
        <v>2</v>
      </c>
    </row>
    <row r="119" spans="1:11">
      <c r="A119" s="146">
        <v>112</v>
      </c>
      <c r="B119" s="147" t="s">
        <v>557</v>
      </c>
      <c r="C119" s="147" t="s">
        <v>126</v>
      </c>
      <c r="D119" s="148" t="s">
        <v>32</v>
      </c>
      <c r="E119" s="148" t="s">
        <v>115</v>
      </c>
      <c r="F119" s="149">
        <v>348</v>
      </c>
      <c r="G119" s="149">
        <v>128</v>
      </c>
      <c r="H119" s="149">
        <v>18</v>
      </c>
      <c r="I119" s="149" t="s">
        <v>667</v>
      </c>
      <c r="J119" s="149" t="s">
        <v>211</v>
      </c>
      <c r="K119" s="161">
        <v>2</v>
      </c>
    </row>
    <row r="120" spans="1:11">
      <c r="A120" s="146">
        <v>113</v>
      </c>
      <c r="B120" s="147" t="s">
        <v>557</v>
      </c>
      <c r="C120" s="147" t="s">
        <v>221</v>
      </c>
      <c r="D120" s="148" t="s">
        <v>32</v>
      </c>
      <c r="E120" s="148" t="s">
        <v>115</v>
      </c>
      <c r="F120" s="149">
        <v>387</v>
      </c>
      <c r="G120" s="149">
        <v>150</v>
      </c>
      <c r="H120" s="149">
        <v>18</v>
      </c>
      <c r="I120" s="149" t="s">
        <v>670</v>
      </c>
      <c r="J120" s="149" t="s">
        <v>671</v>
      </c>
      <c r="K120" s="161">
        <v>2</v>
      </c>
    </row>
    <row r="121" spans="1:11">
      <c r="A121" s="146">
        <v>114</v>
      </c>
      <c r="B121" s="147" t="s">
        <v>557</v>
      </c>
      <c r="C121" s="147" t="s">
        <v>121</v>
      </c>
      <c r="D121" s="148" t="s">
        <v>32</v>
      </c>
      <c r="E121" s="148" t="s">
        <v>115</v>
      </c>
      <c r="F121" s="149">
        <v>377</v>
      </c>
      <c r="G121" s="149">
        <v>128</v>
      </c>
      <c r="H121" s="149">
        <v>18</v>
      </c>
      <c r="I121" s="149" t="s">
        <v>667</v>
      </c>
      <c r="J121" s="149" t="s">
        <v>211</v>
      </c>
      <c r="K121" s="161">
        <v>1</v>
      </c>
    </row>
    <row r="122" spans="1:11">
      <c r="A122" s="146">
        <v>115</v>
      </c>
      <c r="B122" s="147" t="s">
        <v>557</v>
      </c>
      <c r="C122" s="147" t="s">
        <v>123</v>
      </c>
      <c r="D122" s="148" t="s">
        <v>32</v>
      </c>
      <c r="E122" s="148" t="s">
        <v>115</v>
      </c>
      <c r="F122" s="149">
        <v>377</v>
      </c>
      <c r="G122" s="149">
        <v>128</v>
      </c>
      <c r="H122" s="149">
        <v>18</v>
      </c>
      <c r="I122" s="149" t="s">
        <v>667</v>
      </c>
      <c r="J122" s="149" t="s">
        <v>211</v>
      </c>
      <c r="K122" s="161">
        <v>1</v>
      </c>
    </row>
    <row r="123" spans="1:11">
      <c r="A123" s="146">
        <v>116</v>
      </c>
      <c r="B123" s="147" t="s">
        <v>557</v>
      </c>
      <c r="C123" s="147" t="s">
        <v>223</v>
      </c>
      <c r="D123" s="148" t="s">
        <v>32</v>
      </c>
      <c r="E123" s="148" t="s">
        <v>115</v>
      </c>
      <c r="F123" s="149">
        <v>387</v>
      </c>
      <c r="G123" s="149">
        <v>150</v>
      </c>
      <c r="H123" s="149">
        <v>18</v>
      </c>
      <c r="I123" s="149" t="s">
        <v>670</v>
      </c>
      <c r="J123" s="149" t="s">
        <v>671</v>
      </c>
      <c r="K123" s="161">
        <v>1</v>
      </c>
    </row>
    <row r="124" spans="1:11">
      <c r="A124" s="146">
        <v>117</v>
      </c>
      <c r="B124" s="147" t="s">
        <v>557</v>
      </c>
      <c r="C124" s="147" t="s">
        <v>114</v>
      </c>
      <c r="D124" s="148" t="s">
        <v>32</v>
      </c>
      <c r="E124" s="148" t="s">
        <v>115</v>
      </c>
      <c r="F124" s="149">
        <v>760</v>
      </c>
      <c r="G124" s="149">
        <v>1633</v>
      </c>
      <c r="H124" s="149">
        <v>18</v>
      </c>
      <c r="I124" s="149" t="s">
        <v>667</v>
      </c>
      <c r="J124" s="149" t="s">
        <v>211</v>
      </c>
      <c r="K124" s="161">
        <v>1</v>
      </c>
    </row>
    <row r="125" spans="1:11">
      <c r="A125" s="146">
        <v>118</v>
      </c>
      <c r="B125" s="147" t="s">
        <v>557</v>
      </c>
      <c r="C125" s="147" t="s">
        <v>142</v>
      </c>
      <c r="D125" s="148" t="s">
        <v>32</v>
      </c>
      <c r="E125" s="148" t="s">
        <v>115</v>
      </c>
      <c r="F125" s="149">
        <v>1633</v>
      </c>
      <c r="G125" s="149">
        <v>568</v>
      </c>
      <c r="H125" s="149">
        <v>18</v>
      </c>
      <c r="I125" s="149" t="s">
        <v>668</v>
      </c>
      <c r="J125" s="149" t="s">
        <v>669</v>
      </c>
      <c r="K125" s="161">
        <v>1</v>
      </c>
    </row>
    <row r="126" spans="1:11">
      <c r="A126" s="146">
        <v>119</v>
      </c>
      <c r="B126" s="147" t="s">
        <v>557</v>
      </c>
      <c r="C126" s="147" t="s">
        <v>114</v>
      </c>
      <c r="D126" s="148" t="s">
        <v>32</v>
      </c>
      <c r="E126" s="148" t="s">
        <v>115</v>
      </c>
      <c r="F126" s="149">
        <v>118</v>
      </c>
      <c r="G126" s="149">
        <v>1633</v>
      </c>
      <c r="H126" s="149">
        <v>18</v>
      </c>
      <c r="I126" s="149" t="s">
        <v>667</v>
      </c>
      <c r="J126" s="149" t="s">
        <v>211</v>
      </c>
      <c r="K126" s="161">
        <v>1</v>
      </c>
    </row>
    <row r="127" spans="1:11">
      <c r="A127" s="146">
        <v>120</v>
      </c>
      <c r="B127" s="147" t="s">
        <v>38</v>
      </c>
      <c r="C127" s="147" t="s">
        <v>110</v>
      </c>
      <c r="D127" s="148" t="s">
        <v>32</v>
      </c>
      <c r="E127" s="148" t="s">
        <v>115</v>
      </c>
      <c r="F127" s="149">
        <v>578</v>
      </c>
      <c r="G127" s="149">
        <v>2110</v>
      </c>
      <c r="H127" s="149">
        <v>18</v>
      </c>
      <c r="I127" s="149" t="s">
        <v>670</v>
      </c>
      <c r="J127" s="149" t="s">
        <v>671</v>
      </c>
      <c r="K127" s="161">
        <v>1</v>
      </c>
    </row>
    <row r="128" spans="1:11">
      <c r="A128" s="146">
        <v>121</v>
      </c>
      <c r="B128" s="147" t="s">
        <v>38</v>
      </c>
      <c r="C128" s="147" t="s">
        <v>199</v>
      </c>
      <c r="D128" s="148" t="s">
        <v>32</v>
      </c>
      <c r="E128" s="148" t="s">
        <v>115</v>
      </c>
      <c r="F128" s="149">
        <v>386</v>
      </c>
      <c r="G128" s="149">
        <v>58</v>
      </c>
      <c r="H128" s="149">
        <v>18</v>
      </c>
      <c r="I128" s="149" t="s">
        <v>667</v>
      </c>
      <c r="J128" s="149" t="s">
        <v>211</v>
      </c>
      <c r="K128" s="161">
        <v>2</v>
      </c>
    </row>
    <row r="129" spans="1:11">
      <c r="A129" s="146">
        <v>122</v>
      </c>
      <c r="B129" s="147" t="s">
        <v>38</v>
      </c>
      <c r="C129" s="147" t="s">
        <v>117</v>
      </c>
      <c r="D129" s="148" t="s">
        <v>32</v>
      </c>
      <c r="E129" s="148" t="s">
        <v>115</v>
      </c>
      <c r="F129" s="149">
        <v>386</v>
      </c>
      <c r="G129" s="149">
        <v>578</v>
      </c>
      <c r="H129" s="149">
        <v>18</v>
      </c>
      <c r="I129" s="149" t="s">
        <v>668</v>
      </c>
      <c r="J129" s="149" t="s">
        <v>669</v>
      </c>
      <c r="K129" s="161">
        <v>1</v>
      </c>
    </row>
    <row r="130" spans="1:11">
      <c r="A130" s="146">
        <v>123</v>
      </c>
      <c r="B130" s="147" t="s">
        <v>38</v>
      </c>
      <c r="C130" s="147" t="s">
        <v>121</v>
      </c>
      <c r="D130" s="148" t="s">
        <v>32</v>
      </c>
      <c r="E130" s="148" t="s">
        <v>115</v>
      </c>
      <c r="F130" s="149">
        <v>324</v>
      </c>
      <c r="G130" s="149">
        <v>248</v>
      </c>
      <c r="H130" s="149">
        <v>18</v>
      </c>
      <c r="I130" s="149" t="s">
        <v>667</v>
      </c>
      <c r="J130" s="149" t="s">
        <v>211</v>
      </c>
      <c r="K130" s="161">
        <v>1</v>
      </c>
    </row>
    <row r="131" spans="1:11">
      <c r="A131" s="146">
        <v>124</v>
      </c>
      <c r="B131" s="147" t="s">
        <v>38</v>
      </c>
      <c r="C131" s="147" t="s">
        <v>123</v>
      </c>
      <c r="D131" s="148" t="s">
        <v>32</v>
      </c>
      <c r="E131" s="148" t="s">
        <v>115</v>
      </c>
      <c r="F131" s="149">
        <v>324</v>
      </c>
      <c r="G131" s="149">
        <v>248</v>
      </c>
      <c r="H131" s="149">
        <v>18</v>
      </c>
      <c r="I131" s="149" t="s">
        <v>667</v>
      </c>
      <c r="J131" s="149" t="s">
        <v>211</v>
      </c>
      <c r="K131" s="161">
        <v>1</v>
      </c>
    </row>
    <row r="132" spans="1:11">
      <c r="A132" s="146">
        <v>125</v>
      </c>
      <c r="B132" s="147" t="s">
        <v>38</v>
      </c>
      <c r="C132" s="147" t="s">
        <v>124</v>
      </c>
      <c r="D132" s="148" t="s">
        <v>32</v>
      </c>
      <c r="E132" s="148" t="s">
        <v>115</v>
      </c>
      <c r="F132" s="149">
        <v>498</v>
      </c>
      <c r="G132" s="149">
        <v>248</v>
      </c>
      <c r="H132" s="149">
        <v>18</v>
      </c>
      <c r="I132" s="149" t="s">
        <v>667</v>
      </c>
      <c r="J132" s="149" t="s">
        <v>211</v>
      </c>
      <c r="K132" s="161">
        <v>1</v>
      </c>
    </row>
    <row r="133" spans="1:11">
      <c r="A133" s="146">
        <v>126</v>
      </c>
      <c r="B133" s="147" t="s">
        <v>38</v>
      </c>
      <c r="C133" s="147" t="s">
        <v>126</v>
      </c>
      <c r="D133" s="148" t="s">
        <v>32</v>
      </c>
      <c r="E133" s="148" t="s">
        <v>115</v>
      </c>
      <c r="F133" s="149">
        <v>498</v>
      </c>
      <c r="G133" s="149">
        <v>248</v>
      </c>
      <c r="H133" s="149">
        <v>18</v>
      </c>
      <c r="I133" s="149" t="s">
        <v>667</v>
      </c>
      <c r="J133" s="149" t="s">
        <v>211</v>
      </c>
      <c r="K133" s="161">
        <v>1</v>
      </c>
    </row>
    <row r="134" spans="1:11">
      <c r="A134" s="146">
        <v>127</v>
      </c>
      <c r="B134" s="147" t="s">
        <v>38</v>
      </c>
      <c r="C134" s="147" t="s">
        <v>129</v>
      </c>
      <c r="D134" s="148" t="s">
        <v>32</v>
      </c>
      <c r="E134" s="148" t="s">
        <v>115</v>
      </c>
      <c r="F134" s="149">
        <v>386</v>
      </c>
      <c r="G134" s="149">
        <v>549</v>
      </c>
      <c r="H134" s="149">
        <v>18</v>
      </c>
      <c r="I134" s="149" t="s">
        <v>668</v>
      </c>
      <c r="J134" s="149" t="s">
        <v>669</v>
      </c>
      <c r="K134" s="161">
        <v>2</v>
      </c>
    </row>
    <row r="135" spans="1:11">
      <c r="A135" s="146">
        <v>128</v>
      </c>
      <c r="B135" s="147" t="s">
        <v>38</v>
      </c>
      <c r="C135" s="147" t="s">
        <v>121</v>
      </c>
      <c r="D135" s="148" t="s">
        <v>32</v>
      </c>
      <c r="E135" s="148" t="s">
        <v>115</v>
      </c>
      <c r="F135" s="149">
        <v>324</v>
      </c>
      <c r="G135" s="149">
        <v>128</v>
      </c>
      <c r="H135" s="149">
        <v>18</v>
      </c>
      <c r="I135" s="149" t="s">
        <v>667</v>
      </c>
      <c r="J135" s="149" t="s">
        <v>211</v>
      </c>
      <c r="K135" s="161">
        <v>2</v>
      </c>
    </row>
    <row r="136" spans="1:11">
      <c r="A136" s="146">
        <v>129</v>
      </c>
      <c r="B136" s="147" t="s">
        <v>38</v>
      </c>
      <c r="C136" s="147" t="s">
        <v>123</v>
      </c>
      <c r="D136" s="148" t="s">
        <v>32</v>
      </c>
      <c r="E136" s="148" t="s">
        <v>115</v>
      </c>
      <c r="F136" s="149">
        <v>324</v>
      </c>
      <c r="G136" s="149">
        <v>128</v>
      </c>
      <c r="H136" s="149">
        <v>18</v>
      </c>
      <c r="I136" s="149" t="s">
        <v>667</v>
      </c>
      <c r="J136" s="149" t="s">
        <v>211</v>
      </c>
      <c r="K136" s="161">
        <v>2</v>
      </c>
    </row>
    <row r="137" spans="1:11">
      <c r="A137" s="146">
        <v>130</v>
      </c>
      <c r="B137" s="147" t="s">
        <v>38</v>
      </c>
      <c r="C137" s="147" t="s">
        <v>124</v>
      </c>
      <c r="D137" s="148" t="s">
        <v>32</v>
      </c>
      <c r="E137" s="148" t="s">
        <v>115</v>
      </c>
      <c r="F137" s="149">
        <v>498</v>
      </c>
      <c r="G137" s="149">
        <v>128</v>
      </c>
      <c r="H137" s="149">
        <v>18</v>
      </c>
      <c r="I137" s="149" t="s">
        <v>667</v>
      </c>
      <c r="J137" s="149" t="s">
        <v>211</v>
      </c>
      <c r="K137" s="161">
        <v>2</v>
      </c>
    </row>
    <row r="138" spans="1:11">
      <c r="A138" s="146">
        <v>131</v>
      </c>
      <c r="B138" s="147" t="s">
        <v>38</v>
      </c>
      <c r="C138" s="147" t="s">
        <v>126</v>
      </c>
      <c r="D138" s="148" t="s">
        <v>32</v>
      </c>
      <c r="E138" s="148" t="s">
        <v>115</v>
      </c>
      <c r="F138" s="149">
        <v>498</v>
      </c>
      <c r="G138" s="149">
        <v>128</v>
      </c>
      <c r="H138" s="149">
        <v>18</v>
      </c>
      <c r="I138" s="149" t="s">
        <v>667</v>
      </c>
      <c r="J138" s="149" t="s">
        <v>211</v>
      </c>
      <c r="K138" s="161">
        <v>2</v>
      </c>
    </row>
    <row r="139" spans="1:11">
      <c r="A139" s="146">
        <v>132</v>
      </c>
      <c r="B139" s="147" t="s">
        <v>38</v>
      </c>
      <c r="C139" s="147" t="s">
        <v>129</v>
      </c>
      <c r="D139" s="148" t="s">
        <v>32</v>
      </c>
      <c r="E139" s="148" t="s">
        <v>115</v>
      </c>
      <c r="F139" s="149">
        <v>386</v>
      </c>
      <c r="G139" s="149">
        <v>578</v>
      </c>
      <c r="H139" s="149">
        <v>18</v>
      </c>
      <c r="I139" s="149" t="s">
        <v>668</v>
      </c>
      <c r="J139" s="149" t="s">
        <v>669</v>
      </c>
      <c r="K139" s="161">
        <v>1</v>
      </c>
    </row>
    <row r="140" spans="1:11">
      <c r="A140" s="146">
        <v>133</v>
      </c>
      <c r="B140" s="147" t="s">
        <v>38</v>
      </c>
      <c r="C140" s="147" t="s">
        <v>129</v>
      </c>
      <c r="D140" s="148" t="s">
        <v>32</v>
      </c>
      <c r="E140" s="148" t="s">
        <v>115</v>
      </c>
      <c r="F140" s="149">
        <v>386</v>
      </c>
      <c r="G140" s="149">
        <v>573</v>
      </c>
      <c r="H140" s="149">
        <v>18</v>
      </c>
      <c r="I140" s="149" t="s">
        <v>668</v>
      </c>
      <c r="J140" s="149" t="s">
        <v>669</v>
      </c>
      <c r="K140" s="161">
        <v>2</v>
      </c>
    </row>
    <row r="141" spans="1:11">
      <c r="A141" s="146">
        <v>134</v>
      </c>
      <c r="B141" s="147" t="s">
        <v>38</v>
      </c>
      <c r="C141" s="147" t="s">
        <v>142</v>
      </c>
      <c r="D141" s="148" t="s">
        <v>32</v>
      </c>
      <c r="E141" s="148" t="s">
        <v>115</v>
      </c>
      <c r="F141" s="149">
        <v>386</v>
      </c>
      <c r="G141" s="149">
        <v>578</v>
      </c>
      <c r="H141" s="149">
        <v>18</v>
      </c>
      <c r="I141" s="149" t="s">
        <v>668</v>
      </c>
      <c r="J141" s="149" t="s">
        <v>669</v>
      </c>
      <c r="K141" s="161">
        <v>1</v>
      </c>
    </row>
    <row r="142" spans="1:11">
      <c r="A142" s="146">
        <v>135</v>
      </c>
      <c r="B142" s="147" t="s">
        <v>38</v>
      </c>
      <c r="C142" s="147" t="s">
        <v>145</v>
      </c>
      <c r="D142" s="148" t="s">
        <v>32</v>
      </c>
      <c r="E142" s="148" t="s">
        <v>115</v>
      </c>
      <c r="F142" s="149">
        <v>422</v>
      </c>
      <c r="G142" s="149">
        <v>48</v>
      </c>
      <c r="H142" s="149">
        <v>18</v>
      </c>
      <c r="I142" s="149" t="s">
        <v>667</v>
      </c>
      <c r="J142" s="149" t="s">
        <v>211</v>
      </c>
      <c r="K142" s="161">
        <v>1</v>
      </c>
    </row>
    <row r="143" spans="1:11">
      <c r="A143" s="146">
        <v>136</v>
      </c>
      <c r="B143" s="147" t="s">
        <v>38</v>
      </c>
      <c r="C143" s="147" t="s">
        <v>146</v>
      </c>
      <c r="D143" s="148" t="s">
        <v>32</v>
      </c>
      <c r="E143" s="148" t="s">
        <v>115</v>
      </c>
      <c r="F143" s="149">
        <v>422</v>
      </c>
      <c r="G143" s="149">
        <v>78</v>
      </c>
      <c r="H143" s="149">
        <v>18</v>
      </c>
      <c r="I143" s="149" t="s">
        <v>667</v>
      </c>
      <c r="J143" s="149" t="s">
        <v>211</v>
      </c>
      <c r="K143" s="161">
        <v>1</v>
      </c>
    </row>
    <row r="144" spans="1:11">
      <c r="A144" s="146">
        <v>137</v>
      </c>
      <c r="B144" s="147" t="s">
        <v>38</v>
      </c>
      <c r="C144" s="147" t="s">
        <v>223</v>
      </c>
      <c r="D144" s="148" t="s">
        <v>32</v>
      </c>
      <c r="E144" s="148" t="s">
        <v>115</v>
      </c>
      <c r="F144" s="149">
        <v>578</v>
      </c>
      <c r="G144" s="149">
        <v>2110</v>
      </c>
      <c r="H144" s="149">
        <v>18</v>
      </c>
      <c r="I144" s="149" t="s">
        <v>670</v>
      </c>
      <c r="J144" s="149" t="s">
        <v>671</v>
      </c>
      <c r="K144" s="161">
        <v>1</v>
      </c>
    </row>
    <row r="145" spans="1:11">
      <c r="A145" s="146">
        <v>138</v>
      </c>
      <c r="B145" s="147" t="s">
        <v>558</v>
      </c>
      <c r="C145" s="147" t="s">
        <v>110</v>
      </c>
      <c r="D145" s="148" t="s">
        <v>32</v>
      </c>
      <c r="E145" s="148" t="s">
        <v>115</v>
      </c>
      <c r="F145" s="149">
        <v>578</v>
      </c>
      <c r="G145" s="149">
        <v>2388</v>
      </c>
      <c r="H145" s="149">
        <v>18</v>
      </c>
      <c r="I145" s="149" t="s">
        <v>670</v>
      </c>
      <c r="J145" s="149" t="s">
        <v>671</v>
      </c>
      <c r="K145" s="161">
        <v>1</v>
      </c>
    </row>
    <row r="146" spans="1:11">
      <c r="A146" s="146">
        <v>139</v>
      </c>
      <c r="B146" s="147" t="s">
        <v>558</v>
      </c>
      <c r="C146" s="147" t="s">
        <v>199</v>
      </c>
      <c r="D146" s="148" t="s">
        <v>32</v>
      </c>
      <c r="E146" s="148" t="s">
        <v>115</v>
      </c>
      <c r="F146" s="149">
        <v>1234</v>
      </c>
      <c r="G146" s="149">
        <v>58</v>
      </c>
      <c r="H146" s="149">
        <v>18</v>
      </c>
      <c r="I146" s="149" t="s">
        <v>667</v>
      </c>
      <c r="J146" s="149" t="s">
        <v>211</v>
      </c>
      <c r="K146" s="161">
        <v>2</v>
      </c>
    </row>
    <row r="147" spans="1:11">
      <c r="A147" s="146">
        <v>140</v>
      </c>
      <c r="B147" s="147" t="s">
        <v>558</v>
      </c>
      <c r="C147" s="147" t="s">
        <v>327</v>
      </c>
      <c r="D147" s="148" t="s">
        <v>32</v>
      </c>
      <c r="E147" s="148" t="s">
        <v>115</v>
      </c>
      <c r="F147" s="149">
        <v>522</v>
      </c>
      <c r="G147" s="149">
        <v>58</v>
      </c>
      <c r="H147" s="149">
        <v>18</v>
      </c>
      <c r="I147" s="149" t="s">
        <v>667</v>
      </c>
      <c r="J147" s="149" t="s">
        <v>211</v>
      </c>
      <c r="K147" s="161">
        <v>2</v>
      </c>
    </row>
    <row r="148" spans="1:11">
      <c r="A148" s="146">
        <v>141</v>
      </c>
      <c r="B148" s="147" t="s">
        <v>558</v>
      </c>
      <c r="C148" s="147" t="s">
        <v>117</v>
      </c>
      <c r="D148" s="148" t="s">
        <v>32</v>
      </c>
      <c r="E148" s="148" t="s">
        <v>115</v>
      </c>
      <c r="F148" s="149">
        <v>1234</v>
      </c>
      <c r="G148" s="149">
        <v>578</v>
      </c>
      <c r="H148" s="149">
        <v>18</v>
      </c>
      <c r="I148" s="149" t="s">
        <v>668</v>
      </c>
      <c r="J148" s="149" t="s">
        <v>669</v>
      </c>
      <c r="K148" s="161">
        <v>1</v>
      </c>
    </row>
    <row r="149" spans="1:11">
      <c r="A149" s="146">
        <v>142</v>
      </c>
      <c r="B149" s="147" t="s">
        <v>558</v>
      </c>
      <c r="C149" s="147" t="s">
        <v>129</v>
      </c>
      <c r="D149" s="148" t="s">
        <v>32</v>
      </c>
      <c r="E149" s="148" t="s">
        <v>115</v>
      </c>
      <c r="F149" s="149">
        <v>819</v>
      </c>
      <c r="G149" s="149">
        <v>573</v>
      </c>
      <c r="H149" s="149">
        <v>18</v>
      </c>
      <c r="I149" s="149" t="s">
        <v>668</v>
      </c>
      <c r="J149" s="149" t="s">
        <v>669</v>
      </c>
      <c r="K149" s="161">
        <v>2</v>
      </c>
    </row>
    <row r="150" spans="1:11">
      <c r="A150" s="146">
        <v>143</v>
      </c>
      <c r="B150" s="147" t="s">
        <v>558</v>
      </c>
      <c r="C150" s="147" t="s">
        <v>180</v>
      </c>
      <c r="D150" s="148" t="s">
        <v>32</v>
      </c>
      <c r="E150" s="148" t="s">
        <v>115</v>
      </c>
      <c r="F150" s="149">
        <v>819</v>
      </c>
      <c r="G150" s="149">
        <v>78</v>
      </c>
      <c r="H150" s="149">
        <v>18</v>
      </c>
      <c r="I150" s="149" t="s">
        <v>667</v>
      </c>
      <c r="J150" s="149" t="s">
        <v>211</v>
      </c>
      <c r="K150" s="161">
        <v>1</v>
      </c>
    </row>
    <row r="151" spans="1:11">
      <c r="A151" s="146">
        <v>144</v>
      </c>
      <c r="B151" s="147" t="s">
        <v>558</v>
      </c>
      <c r="C151" s="147" t="s">
        <v>221</v>
      </c>
      <c r="D151" s="148" t="s">
        <v>32</v>
      </c>
      <c r="E151" s="148" t="s">
        <v>115</v>
      </c>
      <c r="F151" s="149">
        <v>578</v>
      </c>
      <c r="G151" s="149">
        <v>2292</v>
      </c>
      <c r="H151" s="149">
        <v>18</v>
      </c>
      <c r="I151" s="149" t="s">
        <v>670</v>
      </c>
      <c r="J151" s="149" t="s">
        <v>671</v>
      </c>
      <c r="K151" s="161">
        <v>1</v>
      </c>
    </row>
    <row r="152" spans="1:11">
      <c r="A152" s="146">
        <v>145</v>
      </c>
      <c r="B152" s="147" t="s">
        <v>558</v>
      </c>
      <c r="C152" s="147" t="s">
        <v>129</v>
      </c>
      <c r="D152" s="148" t="s">
        <v>32</v>
      </c>
      <c r="E152" s="148" t="s">
        <v>115</v>
      </c>
      <c r="F152" s="149">
        <v>395</v>
      </c>
      <c r="G152" s="149">
        <v>573</v>
      </c>
      <c r="H152" s="149">
        <v>18</v>
      </c>
      <c r="I152" s="149" t="s">
        <v>668</v>
      </c>
      <c r="J152" s="149" t="s">
        <v>669</v>
      </c>
      <c r="K152" s="161">
        <v>4</v>
      </c>
    </row>
    <row r="153" spans="1:11">
      <c r="A153" s="146">
        <v>146</v>
      </c>
      <c r="B153" s="147" t="s">
        <v>558</v>
      </c>
      <c r="C153" s="147" t="s">
        <v>142</v>
      </c>
      <c r="D153" s="148" t="s">
        <v>32</v>
      </c>
      <c r="E153" s="148" t="s">
        <v>115</v>
      </c>
      <c r="F153" s="149">
        <v>1234</v>
      </c>
      <c r="G153" s="149">
        <v>578</v>
      </c>
      <c r="H153" s="149">
        <v>18</v>
      </c>
      <c r="I153" s="149" t="s">
        <v>668</v>
      </c>
      <c r="J153" s="149" t="s">
        <v>669</v>
      </c>
      <c r="K153" s="161">
        <v>1</v>
      </c>
    </row>
    <row r="154" spans="1:11">
      <c r="A154" s="146">
        <v>147</v>
      </c>
      <c r="B154" s="147" t="s">
        <v>558</v>
      </c>
      <c r="C154" s="147" t="s">
        <v>223</v>
      </c>
      <c r="D154" s="148" t="s">
        <v>32</v>
      </c>
      <c r="E154" s="148" t="s">
        <v>115</v>
      </c>
      <c r="F154" s="149">
        <v>578</v>
      </c>
      <c r="G154" s="149">
        <v>2388</v>
      </c>
      <c r="H154" s="149">
        <v>18</v>
      </c>
      <c r="I154" s="149" t="s">
        <v>670</v>
      </c>
      <c r="J154" s="149" t="s">
        <v>671</v>
      </c>
      <c r="K154" s="161">
        <v>1</v>
      </c>
    </row>
    <row r="155" spans="1:11">
      <c r="A155" s="146">
        <v>148</v>
      </c>
      <c r="B155" s="147" t="s">
        <v>558</v>
      </c>
      <c r="C155" s="147" t="s">
        <v>145</v>
      </c>
      <c r="D155" s="148" t="s">
        <v>32</v>
      </c>
      <c r="E155" s="148" t="s">
        <v>115</v>
      </c>
      <c r="F155" s="149">
        <v>1270</v>
      </c>
      <c r="G155" s="149">
        <v>48</v>
      </c>
      <c r="H155" s="149">
        <v>18</v>
      </c>
      <c r="I155" s="149" t="s">
        <v>667</v>
      </c>
      <c r="J155" s="149" t="s">
        <v>211</v>
      </c>
      <c r="K155" s="161">
        <v>1</v>
      </c>
    </row>
    <row r="156" spans="1:11">
      <c r="A156" s="146">
        <v>149</v>
      </c>
      <c r="B156" s="147" t="s">
        <v>558</v>
      </c>
      <c r="C156" s="147" t="s">
        <v>146</v>
      </c>
      <c r="D156" s="148" t="s">
        <v>32</v>
      </c>
      <c r="E156" s="148" t="s">
        <v>115</v>
      </c>
      <c r="F156" s="149">
        <v>1270</v>
      </c>
      <c r="G156" s="149">
        <v>78</v>
      </c>
      <c r="H156" s="149">
        <v>18</v>
      </c>
      <c r="I156" s="149" t="s">
        <v>667</v>
      </c>
      <c r="J156" s="149" t="s">
        <v>211</v>
      </c>
      <c r="K156" s="161">
        <v>1</v>
      </c>
    </row>
    <row r="157" spans="1:11">
      <c r="A157" s="146">
        <v>150</v>
      </c>
      <c r="B157" s="147" t="s">
        <v>559</v>
      </c>
      <c r="C157" s="147" t="s">
        <v>110</v>
      </c>
      <c r="D157" s="148" t="s">
        <v>32</v>
      </c>
      <c r="E157" s="148" t="s">
        <v>115</v>
      </c>
      <c r="F157" s="149">
        <v>578</v>
      </c>
      <c r="G157" s="149">
        <v>2388</v>
      </c>
      <c r="H157" s="149">
        <v>18</v>
      </c>
      <c r="I157" s="149" t="s">
        <v>670</v>
      </c>
      <c r="J157" s="149" t="s">
        <v>671</v>
      </c>
      <c r="K157" s="161">
        <v>1</v>
      </c>
    </row>
    <row r="158" spans="1:11">
      <c r="A158" s="146">
        <v>151</v>
      </c>
      <c r="B158" s="147" t="s">
        <v>559</v>
      </c>
      <c r="C158" s="147" t="s">
        <v>199</v>
      </c>
      <c r="D158" s="148" t="s">
        <v>32</v>
      </c>
      <c r="E158" s="148" t="s">
        <v>115</v>
      </c>
      <c r="F158" s="149">
        <v>986</v>
      </c>
      <c r="G158" s="149">
        <v>58</v>
      </c>
      <c r="H158" s="149">
        <v>18</v>
      </c>
      <c r="I158" s="149" t="s">
        <v>667</v>
      </c>
      <c r="J158" s="149" t="s">
        <v>211</v>
      </c>
      <c r="K158" s="161">
        <v>2</v>
      </c>
    </row>
    <row r="159" spans="1:11">
      <c r="A159" s="146">
        <v>152</v>
      </c>
      <c r="B159" s="147" t="s">
        <v>559</v>
      </c>
      <c r="C159" s="147" t="s">
        <v>327</v>
      </c>
      <c r="D159" s="148" t="s">
        <v>32</v>
      </c>
      <c r="E159" s="148" t="s">
        <v>115</v>
      </c>
      <c r="F159" s="149">
        <v>522</v>
      </c>
      <c r="G159" s="149">
        <v>58</v>
      </c>
      <c r="H159" s="149">
        <v>18</v>
      </c>
      <c r="I159" s="149" t="s">
        <v>667</v>
      </c>
      <c r="J159" s="149" t="s">
        <v>211</v>
      </c>
      <c r="K159" s="161">
        <v>1</v>
      </c>
    </row>
    <row r="160" spans="1:11">
      <c r="A160" s="146">
        <v>153</v>
      </c>
      <c r="B160" s="147" t="s">
        <v>559</v>
      </c>
      <c r="C160" s="147" t="s">
        <v>117</v>
      </c>
      <c r="D160" s="148" t="s">
        <v>32</v>
      </c>
      <c r="E160" s="148" t="s">
        <v>115</v>
      </c>
      <c r="F160" s="149">
        <v>986</v>
      </c>
      <c r="G160" s="149">
        <v>578</v>
      </c>
      <c r="H160" s="149">
        <v>18</v>
      </c>
      <c r="I160" s="149" t="s">
        <v>668</v>
      </c>
      <c r="J160" s="149" t="s">
        <v>669</v>
      </c>
      <c r="K160" s="161">
        <v>1</v>
      </c>
    </row>
    <row r="161" spans="1:11">
      <c r="A161" s="146">
        <v>154</v>
      </c>
      <c r="B161" s="147" t="s">
        <v>559</v>
      </c>
      <c r="C161" s="147" t="s">
        <v>221</v>
      </c>
      <c r="D161" s="148" t="s">
        <v>32</v>
      </c>
      <c r="E161" s="148" t="s">
        <v>115</v>
      </c>
      <c r="F161" s="149">
        <v>78</v>
      </c>
      <c r="G161" s="149">
        <v>2292</v>
      </c>
      <c r="H161" s="149">
        <v>18</v>
      </c>
      <c r="I161" s="149" t="s">
        <v>670</v>
      </c>
      <c r="J161" s="149" t="s">
        <v>671</v>
      </c>
      <c r="K161" s="161">
        <v>1</v>
      </c>
    </row>
    <row r="162" spans="1:11">
      <c r="A162" s="146">
        <v>155</v>
      </c>
      <c r="B162" s="147" t="s">
        <v>559</v>
      </c>
      <c r="C162" s="147" t="s">
        <v>180</v>
      </c>
      <c r="D162" s="148" t="s">
        <v>32</v>
      </c>
      <c r="E162" s="148" t="s">
        <v>115</v>
      </c>
      <c r="F162" s="149">
        <v>986</v>
      </c>
      <c r="G162" s="149">
        <v>78</v>
      </c>
      <c r="H162" s="149">
        <v>18</v>
      </c>
      <c r="I162" s="149" t="s">
        <v>667</v>
      </c>
      <c r="J162" s="149" t="s">
        <v>211</v>
      </c>
      <c r="K162" s="161">
        <v>2</v>
      </c>
    </row>
    <row r="163" spans="1:11">
      <c r="A163" s="146">
        <v>156</v>
      </c>
      <c r="B163" s="147" t="s">
        <v>559</v>
      </c>
      <c r="C163" s="147" t="s">
        <v>129</v>
      </c>
      <c r="D163" s="148" t="s">
        <v>32</v>
      </c>
      <c r="E163" s="148" t="s">
        <v>115</v>
      </c>
      <c r="F163" s="149">
        <v>986</v>
      </c>
      <c r="G163" s="149">
        <v>558</v>
      </c>
      <c r="H163" s="149">
        <v>18</v>
      </c>
      <c r="I163" s="149" t="s">
        <v>668</v>
      </c>
      <c r="J163" s="149" t="s">
        <v>669</v>
      </c>
      <c r="K163" s="161">
        <v>2</v>
      </c>
    </row>
    <row r="164" spans="1:11">
      <c r="A164" s="146">
        <v>157</v>
      </c>
      <c r="B164" s="147" t="s">
        <v>559</v>
      </c>
      <c r="C164" s="147" t="s">
        <v>131</v>
      </c>
      <c r="D164" s="148" t="s">
        <v>32</v>
      </c>
      <c r="E164" s="148" t="s">
        <v>115</v>
      </c>
      <c r="F164" s="149">
        <v>2292</v>
      </c>
      <c r="G164" s="149">
        <v>580</v>
      </c>
      <c r="H164" s="149">
        <v>18</v>
      </c>
      <c r="I164" s="149" t="s">
        <v>667</v>
      </c>
      <c r="J164" s="149" t="s">
        <v>211</v>
      </c>
      <c r="K164" s="161">
        <v>1</v>
      </c>
    </row>
    <row r="165" spans="1:11">
      <c r="A165" s="146">
        <v>158</v>
      </c>
      <c r="B165" s="147" t="s">
        <v>559</v>
      </c>
      <c r="C165" s="147" t="s">
        <v>142</v>
      </c>
      <c r="D165" s="148" t="s">
        <v>32</v>
      </c>
      <c r="E165" s="148" t="s">
        <v>115</v>
      </c>
      <c r="F165" s="149">
        <v>986</v>
      </c>
      <c r="G165" s="149">
        <v>578</v>
      </c>
      <c r="H165" s="149">
        <v>18</v>
      </c>
      <c r="I165" s="149" t="s">
        <v>668</v>
      </c>
      <c r="J165" s="149" t="s">
        <v>669</v>
      </c>
      <c r="K165" s="161">
        <v>1</v>
      </c>
    </row>
    <row r="166" spans="1:11">
      <c r="A166" s="146">
        <v>159</v>
      </c>
      <c r="B166" s="147" t="s">
        <v>559</v>
      </c>
      <c r="C166" s="147" t="s">
        <v>223</v>
      </c>
      <c r="D166" s="148" t="s">
        <v>32</v>
      </c>
      <c r="E166" s="148" t="s">
        <v>115</v>
      </c>
      <c r="F166" s="149">
        <v>578</v>
      </c>
      <c r="G166" s="149">
        <v>2388</v>
      </c>
      <c r="H166" s="149">
        <v>18</v>
      </c>
      <c r="I166" s="149" t="s">
        <v>670</v>
      </c>
      <c r="J166" s="149" t="s">
        <v>671</v>
      </c>
      <c r="K166" s="161">
        <v>1</v>
      </c>
    </row>
    <row r="167" spans="1:11">
      <c r="A167" s="146">
        <v>160</v>
      </c>
      <c r="B167" s="147" t="s">
        <v>559</v>
      </c>
      <c r="C167" s="147" t="s">
        <v>145</v>
      </c>
      <c r="D167" s="148" t="s">
        <v>32</v>
      </c>
      <c r="E167" s="148" t="s">
        <v>115</v>
      </c>
      <c r="F167" s="149">
        <v>1022</v>
      </c>
      <c r="G167" s="149">
        <v>48</v>
      </c>
      <c r="H167" s="149">
        <v>18</v>
      </c>
      <c r="I167" s="149" t="s">
        <v>667</v>
      </c>
      <c r="J167" s="149" t="s">
        <v>211</v>
      </c>
      <c r="K167" s="161">
        <v>1</v>
      </c>
    </row>
    <row r="168" spans="1:11">
      <c r="A168" s="146">
        <v>161</v>
      </c>
      <c r="B168" s="147" t="s">
        <v>559</v>
      </c>
      <c r="C168" s="147" t="s">
        <v>146</v>
      </c>
      <c r="D168" s="148" t="s">
        <v>32</v>
      </c>
      <c r="E168" s="148" t="s">
        <v>115</v>
      </c>
      <c r="F168" s="149">
        <v>1022</v>
      </c>
      <c r="G168" s="149">
        <v>78</v>
      </c>
      <c r="H168" s="149">
        <v>18</v>
      </c>
      <c r="I168" s="149" t="s">
        <v>667</v>
      </c>
      <c r="J168" s="149" t="s">
        <v>211</v>
      </c>
      <c r="K168" s="161">
        <v>1</v>
      </c>
    </row>
    <row r="169" spans="1:11">
      <c r="A169" s="146">
        <v>162</v>
      </c>
      <c r="B169" s="147" t="s">
        <v>560</v>
      </c>
      <c r="C169" s="147" t="s">
        <v>361</v>
      </c>
      <c r="D169" s="148" t="s">
        <v>32</v>
      </c>
      <c r="E169" s="148" t="s">
        <v>115</v>
      </c>
      <c r="F169" s="149">
        <v>98</v>
      </c>
      <c r="G169" s="149">
        <v>2398</v>
      </c>
      <c r="H169" s="149">
        <v>18</v>
      </c>
      <c r="I169" s="149" t="s">
        <v>211</v>
      </c>
      <c r="J169" s="149" t="s">
        <v>667</v>
      </c>
      <c r="K169" s="161">
        <v>2</v>
      </c>
    </row>
    <row r="170" spans="1:11">
      <c r="A170" s="146">
        <v>163</v>
      </c>
      <c r="B170" s="147" t="s">
        <v>40</v>
      </c>
      <c r="C170" s="147" t="s">
        <v>110</v>
      </c>
      <c r="D170" s="148" t="s">
        <v>32</v>
      </c>
      <c r="E170" s="148" t="s">
        <v>115</v>
      </c>
      <c r="F170" s="149">
        <v>578</v>
      </c>
      <c r="G170" s="149">
        <v>2388</v>
      </c>
      <c r="H170" s="149">
        <v>18</v>
      </c>
      <c r="I170" s="149" t="s">
        <v>670</v>
      </c>
      <c r="J170" s="149" t="s">
        <v>671</v>
      </c>
      <c r="K170" s="161">
        <v>1</v>
      </c>
    </row>
    <row r="171" spans="1:11">
      <c r="A171" s="146">
        <v>164</v>
      </c>
      <c r="B171" s="147" t="s">
        <v>40</v>
      </c>
      <c r="C171" s="147" t="s">
        <v>199</v>
      </c>
      <c r="D171" s="148" t="s">
        <v>32</v>
      </c>
      <c r="E171" s="148" t="s">
        <v>115</v>
      </c>
      <c r="F171" s="149">
        <v>1437</v>
      </c>
      <c r="G171" s="149">
        <v>58</v>
      </c>
      <c r="H171" s="149">
        <v>18</v>
      </c>
      <c r="I171" s="149" t="s">
        <v>667</v>
      </c>
      <c r="J171" s="149" t="s">
        <v>211</v>
      </c>
      <c r="K171" s="161">
        <v>2</v>
      </c>
    </row>
    <row r="172" spans="1:11">
      <c r="A172" s="146">
        <v>165</v>
      </c>
      <c r="B172" s="147" t="s">
        <v>40</v>
      </c>
      <c r="C172" s="147" t="s">
        <v>327</v>
      </c>
      <c r="D172" s="148" t="s">
        <v>32</v>
      </c>
      <c r="E172" s="148" t="s">
        <v>115</v>
      </c>
      <c r="F172" s="149">
        <v>522</v>
      </c>
      <c r="G172" s="149">
        <v>58</v>
      </c>
      <c r="H172" s="149">
        <v>18</v>
      </c>
      <c r="I172" s="149" t="s">
        <v>667</v>
      </c>
      <c r="J172" s="149" t="s">
        <v>211</v>
      </c>
      <c r="K172" s="161">
        <v>2</v>
      </c>
    </row>
    <row r="173" spans="1:11">
      <c r="A173" s="146">
        <v>166</v>
      </c>
      <c r="B173" s="147" t="s">
        <v>40</v>
      </c>
      <c r="C173" s="147" t="s">
        <v>117</v>
      </c>
      <c r="D173" s="148" t="s">
        <v>32</v>
      </c>
      <c r="E173" s="148" t="s">
        <v>115</v>
      </c>
      <c r="F173" s="149">
        <v>1437</v>
      </c>
      <c r="G173" s="149">
        <v>578</v>
      </c>
      <c r="H173" s="149">
        <v>18</v>
      </c>
      <c r="I173" s="149" t="s">
        <v>668</v>
      </c>
      <c r="J173" s="149" t="s">
        <v>669</v>
      </c>
      <c r="K173" s="161">
        <v>1</v>
      </c>
    </row>
    <row r="174" spans="1:11">
      <c r="A174" s="146">
        <v>167</v>
      </c>
      <c r="B174" s="147" t="s">
        <v>40</v>
      </c>
      <c r="C174" s="147" t="s">
        <v>129</v>
      </c>
      <c r="D174" s="148" t="s">
        <v>32</v>
      </c>
      <c r="E174" s="148" t="s">
        <v>115</v>
      </c>
      <c r="F174" s="149">
        <v>446</v>
      </c>
      <c r="G174" s="149">
        <v>578</v>
      </c>
      <c r="H174" s="149">
        <v>18</v>
      </c>
      <c r="I174" s="149" t="s">
        <v>668</v>
      </c>
      <c r="J174" s="149" t="s">
        <v>669</v>
      </c>
      <c r="K174" s="161">
        <v>1</v>
      </c>
    </row>
    <row r="175" spans="1:11">
      <c r="A175" s="146">
        <v>168</v>
      </c>
      <c r="B175" s="147" t="s">
        <v>40</v>
      </c>
      <c r="C175" s="147" t="s">
        <v>129</v>
      </c>
      <c r="D175" s="148" t="s">
        <v>32</v>
      </c>
      <c r="E175" s="148" t="s">
        <v>115</v>
      </c>
      <c r="F175" s="149">
        <v>446</v>
      </c>
      <c r="G175" s="149">
        <v>573</v>
      </c>
      <c r="H175" s="149">
        <v>18</v>
      </c>
      <c r="I175" s="149" t="s">
        <v>668</v>
      </c>
      <c r="J175" s="149" t="s">
        <v>669</v>
      </c>
      <c r="K175" s="161">
        <v>3</v>
      </c>
    </row>
    <row r="176" spans="1:11">
      <c r="A176" s="146">
        <v>169</v>
      </c>
      <c r="B176" s="147" t="s">
        <v>40</v>
      </c>
      <c r="C176" s="147" t="s">
        <v>221</v>
      </c>
      <c r="D176" s="148" t="s">
        <v>32</v>
      </c>
      <c r="E176" s="148" t="s">
        <v>115</v>
      </c>
      <c r="F176" s="149">
        <v>578</v>
      </c>
      <c r="G176" s="149">
        <v>2292</v>
      </c>
      <c r="H176" s="149">
        <v>18</v>
      </c>
      <c r="I176" s="149" t="s">
        <v>670</v>
      </c>
      <c r="J176" s="149" t="s">
        <v>671</v>
      </c>
      <c r="K176" s="161">
        <v>1</v>
      </c>
    </row>
    <row r="177" spans="1:11">
      <c r="A177" s="146">
        <v>170</v>
      </c>
      <c r="B177" s="147" t="s">
        <v>40</v>
      </c>
      <c r="C177" s="147" t="s">
        <v>110</v>
      </c>
      <c r="D177" s="148" t="s">
        <v>32</v>
      </c>
      <c r="E177" s="148" t="s">
        <v>115</v>
      </c>
      <c r="F177" s="149">
        <v>469</v>
      </c>
      <c r="G177" s="149">
        <v>423</v>
      </c>
      <c r="H177" s="149">
        <v>18</v>
      </c>
      <c r="I177" s="149" t="s">
        <v>670</v>
      </c>
      <c r="J177" s="149" t="s">
        <v>671</v>
      </c>
      <c r="K177" s="161">
        <v>2</v>
      </c>
    </row>
    <row r="178" spans="1:11">
      <c r="A178" s="146">
        <v>171</v>
      </c>
      <c r="B178" s="147" t="s">
        <v>40</v>
      </c>
      <c r="C178" s="147" t="s">
        <v>375</v>
      </c>
      <c r="D178" s="148" t="s">
        <v>32</v>
      </c>
      <c r="E178" s="148" t="s">
        <v>115</v>
      </c>
      <c r="F178" s="149">
        <v>893</v>
      </c>
      <c r="G178" s="149">
        <v>196.7</v>
      </c>
      <c r="H178" s="149">
        <v>18</v>
      </c>
      <c r="I178" s="149" t="s">
        <v>211</v>
      </c>
      <c r="J178" s="149" t="s">
        <v>667</v>
      </c>
      <c r="K178" s="161">
        <v>2</v>
      </c>
    </row>
    <row r="179" spans="1:11">
      <c r="A179" s="146">
        <v>172</v>
      </c>
      <c r="B179" s="147" t="s">
        <v>40</v>
      </c>
      <c r="C179" s="147" t="s">
        <v>123</v>
      </c>
      <c r="D179" s="148" t="s">
        <v>32</v>
      </c>
      <c r="E179" s="148" t="s">
        <v>115</v>
      </c>
      <c r="F179" s="149">
        <v>837</v>
      </c>
      <c r="G179" s="149">
        <v>158</v>
      </c>
      <c r="H179" s="149">
        <v>18</v>
      </c>
      <c r="I179" s="149" t="s">
        <v>667</v>
      </c>
      <c r="J179" s="149" t="s">
        <v>211</v>
      </c>
      <c r="K179" s="161">
        <v>2</v>
      </c>
    </row>
    <row r="180" spans="1:11">
      <c r="A180" s="146">
        <v>173</v>
      </c>
      <c r="B180" s="147" t="s">
        <v>40</v>
      </c>
      <c r="C180" s="147" t="s">
        <v>124</v>
      </c>
      <c r="D180" s="148" t="s">
        <v>32</v>
      </c>
      <c r="E180" s="148" t="s">
        <v>115</v>
      </c>
      <c r="F180" s="149">
        <v>448</v>
      </c>
      <c r="G180" s="149">
        <v>158</v>
      </c>
      <c r="H180" s="149">
        <v>18</v>
      </c>
      <c r="I180" s="149" t="s">
        <v>667</v>
      </c>
      <c r="J180" s="149" t="s">
        <v>211</v>
      </c>
      <c r="K180" s="161">
        <v>2</v>
      </c>
    </row>
    <row r="181" spans="1:11">
      <c r="A181" s="146">
        <v>174</v>
      </c>
      <c r="B181" s="147" t="s">
        <v>40</v>
      </c>
      <c r="C181" s="147" t="s">
        <v>126</v>
      </c>
      <c r="D181" s="148" t="s">
        <v>32</v>
      </c>
      <c r="E181" s="148" t="s">
        <v>115</v>
      </c>
      <c r="F181" s="149">
        <v>448</v>
      </c>
      <c r="G181" s="149">
        <v>158</v>
      </c>
      <c r="H181" s="149">
        <v>18</v>
      </c>
      <c r="I181" s="149" t="s">
        <v>667</v>
      </c>
      <c r="J181" s="149" t="s">
        <v>211</v>
      </c>
      <c r="K181" s="161">
        <v>2</v>
      </c>
    </row>
    <row r="182" spans="1:11">
      <c r="A182" s="146">
        <v>175</v>
      </c>
      <c r="B182" s="147" t="s">
        <v>40</v>
      </c>
      <c r="C182" s="147" t="s">
        <v>223</v>
      </c>
      <c r="D182" s="148" t="s">
        <v>32</v>
      </c>
      <c r="E182" s="148" t="s">
        <v>115</v>
      </c>
      <c r="F182" s="149">
        <v>469</v>
      </c>
      <c r="G182" s="149">
        <v>423</v>
      </c>
      <c r="H182" s="149">
        <v>18</v>
      </c>
      <c r="I182" s="149" t="s">
        <v>670</v>
      </c>
      <c r="J182" s="149" t="s">
        <v>671</v>
      </c>
      <c r="K182" s="161">
        <v>2</v>
      </c>
    </row>
    <row r="183" spans="1:11">
      <c r="A183" s="146">
        <v>176</v>
      </c>
      <c r="B183" s="147" t="s">
        <v>40</v>
      </c>
      <c r="C183" s="147" t="s">
        <v>129</v>
      </c>
      <c r="D183" s="148" t="s">
        <v>32</v>
      </c>
      <c r="E183" s="148" t="s">
        <v>115</v>
      </c>
      <c r="F183" s="149">
        <v>971</v>
      </c>
      <c r="G183" s="149">
        <v>498</v>
      </c>
      <c r="H183" s="149">
        <v>18</v>
      </c>
      <c r="I183" s="149" t="s">
        <v>668</v>
      </c>
      <c r="J183" s="149" t="s">
        <v>669</v>
      </c>
      <c r="K183" s="161">
        <v>1</v>
      </c>
    </row>
    <row r="184" spans="1:11">
      <c r="A184" s="146">
        <v>177</v>
      </c>
      <c r="B184" s="147" t="s">
        <v>40</v>
      </c>
      <c r="C184" s="147" t="s">
        <v>180</v>
      </c>
      <c r="D184" s="148" t="s">
        <v>32</v>
      </c>
      <c r="E184" s="148" t="s">
        <v>115</v>
      </c>
      <c r="F184" s="149">
        <v>971</v>
      </c>
      <c r="G184" s="149">
        <v>78</v>
      </c>
      <c r="H184" s="149">
        <v>18</v>
      </c>
      <c r="I184" s="149" t="s">
        <v>667</v>
      </c>
      <c r="J184" s="149" t="s">
        <v>211</v>
      </c>
      <c r="K184" s="161">
        <v>1</v>
      </c>
    </row>
    <row r="185" spans="1:11">
      <c r="A185" s="146">
        <v>178</v>
      </c>
      <c r="B185" s="147" t="s">
        <v>40</v>
      </c>
      <c r="C185" s="147" t="s">
        <v>129</v>
      </c>
      <c r="D185" s="148" t="s">
        <v>32</v>
      </c>
      <c r="E185" s="148" t="s">
        <v>115</v>
      </c>
      <c r="F185" s="149">
        <v>971</v>
      </c>
      <c r="G185" s="149">
        <v>573</v>
      </c>
      <c r="H185" s="149">
        <v>18</v>
      </c>
      <c r="I185" s="149" t="s">
        <v>668</v>
      </c>
      <c r="J185" s="149" t="s">
        <v>669</v>
      </c>
      <c r="K185" s="161">
        <v>1</v>
      </c>
    </row>
    <row r="186" spans="1:11">
      <c r="A186" s="146">
        <v>179</v>
      </c>
      <c r="B186" s="147" t="s">
        <v>40</v>
      </c>
      <c r="C186" s="147" t="s">
        <v>142</v>
      </c>
      <c r="D186" s="148" t="s">
        <v>32</v>
      </c>
      <c r="E186" s="148" t="s">
        <v>115</v>
      </c>
      <c r="F186" s="149">
        <v>1437</v>
      </c>
      <c r="G186" s="149">
        <v>578</v>
      </c>
      <c r="H186" s="149">
        <v>18</v>
      </c>
      <c r="I186" s="149" t="s">
        <v>668</v>
      </c>
      <c r="J186" s="149" t="s">
        <v>669</v>
      </c>
      <c r="K186" s="161">
        <v>1</v>
      </c>
    </row>
    <row r="187" spans="1:11">
      <c r="A187" s="146">
        <v>180</v>
      </c>
      <c r="B187" s="147" t="s">
        <v>40</v>
      </c>
      <c r="C187" s="147" t="s">
        <v>223</v>
      </c>
      <c r="D187" s="148" t="s">
        <v>32</v>
      </c>
      <c r="E187" s="148" t="s">
        <v>115</v>
      </c>
      <c r="F187" s="149">
        <v>578</v>
      </c>
      <c r="G187" s="149">
        <v>2388</v>
      </c>
      <c r="H187" s="149">
        <v>18</v>
      </c>
      <c r="I187" s="149" t="s">
        <v>670</v>
      </c>
      <c r="J187" s="149" t="s">
        <v>671</v>
      </c>
      <c r="K187" s="161">
        <v>1</v>
      </c>
    </row>
    <row r="188" spans="1:11">
      <c r="A188" s="146">
        <v>181</v>
      </c>
      <c r="B188" s="147" t="s">
        <v>40</v>
      </c>
      <c r="C188" s="147" t="s">
        <v>145</v>
      </c>
      <c r="D188" s="148" t="s">
        <v>32</v>
      </c>
      <c r="E188" s="148" t="s">
        <v>115</v>
      </c>
      <c r="F188" s="149">
        <v>1523</v>
      </c>
      <c r="G188" s="149">
        <v>48</v>
      </c>
      <c r="H188" s="149">
        <v>18</v>
      </c>
      <c r="I188" s="149" t="s">
        <v>667</v>
      </c>
      <c r="J188" s="149" t="s">
        <v>211</v>
      </c>
      <c r="K188" s="161">
        <v>1</v>
      </c>
    </row>
    <row r="189" spans="1:11">
      <c r="A189" s="146">
        <v>182</v>
      </c>
      <c r="B189" s="147" t="s">
        <v>40</v>
      </c>
      <c r="C189" s="147" t="s">
        <v>146</v>
      </c>
      <c r="D189" s="148" t="s">
        <v>32</v>
      </c>
      <c r="E189" s="148" t="s">
        <v>115</v>
      </c>
      <c r="F189" s="149">
        <v>1523</v>
      </c>
      <c r="G189" s="149">
        <v>78</v>
      </c>
      <c r="H189" s="149">
        <v>18</v>
      </c>
      <c r="I189" s="149" t="s">
        <v>667</v>
      </c>
      <c r="J189" s="149" t="s">
        <v>211</v>
      </c>
      <c r="K189" s="161">
        <v>1</v>
      </c>
    </row>
    <row r="190" spans="1:11">
      <c r="A190" s="146">
        <v>183</v>
      </c>
      <c r="B190" s="147" t="s">
        <v>561</v>
      </c>
      <c r="C190" s="147" t="s">
        <v>110</v>
      </c>
      <c r="D190" s="148" t="s">
        <v>32</v>
      </c>
      <c r="E190" s="148" t="s">
        <v>115</v>
      </c>
      <c r="F190" s="149">
        <v>578</v>
      </c>
      <c r="G190" s="149">
        <v>2388</v>
      </c>
      <c r="H190" s="149">
        <v>18</v>
      </c>
      <c r="I190" s="149" t="s">
        <v>670</v>
      </c>
      <c r="J190" s="149" t="s">
        <v>671</v>
      </c>
      <c r="K190" s="161">
        <v>1</v>
      </c>
    </row>
    <row r="191" spans="1:11">
      <c r="A191" s="146">
        <v>184</v>
      </c>
      <c r="B191" s="147" t="s">
        <v>561</v>
      </c>
      <c r="C191" s="147" t="s">
        <v>199</v>
      </c>
      <c r="D191" s="148" t="s">
        <v>32</v>
      </c>
      <c r="E191" s="148" t="s">
        <v>115</v>
      </c>
      <c r="F191" s="149">
        <v>1037</v>
      </c>
      <c r="G191" s="149">
        <v>58</v>
      </c>
      <c r="H191" s="149">
        <v>18</v>
      </c>
      <c r="I191" s="149" t="s">
        <v>667</v>
      </c>
      <c r="J191" s="149" t="s">
        <v>211</v>
      </c>
      <c r="K191" s="161">
        <v>2</v>
      </c>
    </row>
    <row r="192" spans="1:11">
      <c r="A192" s="146">
        <v>185</v>
      </c>
      <c r="B192" s="147" t="s">
        <v>561</v>
      </c>
      <c r="C192" s="147" t="s">
        <v>327</v>
      </c>
      <c r="D192" s="148" t="s">
        <v>32</v>
      </c>
      <c r="E192" s="148" t="s">
        <v>115</v>
      </c>
      <c r="F192" s="149">
        <v>522</v>
      </c>
      <c r="G192" s="149">
        <v>58</v>
      </c>
      <c r="H192" s="149">
        <v>18</v>
      </c>
      <c r="I192" s="149" t="s">
        <v>667</v>
      </c>
      <c r="J192" s="149" t="s">
        <v>211</v>
      </c>
      <c r="K192" s="161">
        <v>1</v>
      </c>
    </row>
    <row r="193" spans="1:11">
      <c r="A193" s="146">
        <v>186</v>
      </c>
      <c r="B193" s="147" t="s">
        <v>561</v>
      </c>
      <c r="C193" s="147" t="s">
        <v>117</v>
      </c>
      <c r="D193" s="148" t="s">
        <v>32</v>
      </c>
      <c r="E193" s="148" t="s">
        <v>115</v>
      </c>
      <c r="F193" s="149">
        <v>1037</v>
      </c>
      <c r="G193" s="149">
        <v>578</v>
      </c>
      <c r="H193" s="149">
        <v>18</v>
      </c>
      <c r="I193" s="149" t="s">
        <v>668</v>
      </c>
      <c r="J193" s="149" t="s">
        <v>669</v>
      </c>
      <c r="K193" s="161">
        <v>1</v>
      </c>
    </row>
    <row r="194" spans="1:11">
      <c r="A194" s="146">
        <v>187</v>
      </c>
      <c r="B194" s="147" t="s">
        <v>561</v>
      </c>
      <c r="C194" s="147" t="s">
        <v>180</v>
      </c>
      <c r="D194" s="148" t="s">
        <v>32</v>
      </c>
      <c r="E194" s="148" t="s">
        <v>115</v>
      </c>
      <c r="F194" s="149">
        <v>1037</v>
      </c>
      <c r="G194" s="149">
        <v>78</v>
      </c>
      <c r="H194" s="149">
        <v>18</v>
      </c>
      <c r="I194" s="149" t="s">
        <v>667</v>
      </c>
      <c r="J194" s="149" t="s">
        <v>211</v>
      </c>
      <c r="K194" s="161">
        <v>2</v>
      </c>
    </row>
    <row r="195" spans="1:11">
      <c r="A195" s="146">
        <v>188</v>
      </c>
      <c r="B195" s="147" t="s">
        <v>561</v>
      </c>
      <c r="C195" s="147" t="s">
        <v>129</v>
      </c>
      <c r="D195" s="148" t="s">
        <v>32</v>
      </c>
      <c r="E195" s="148" t="s">
        <v>115</v>
      </c>
      <c r="F195" s="149">
        <v>1037</v>
      </c>
      <c r="G195" s="149">
        <v>573</v>
      </c>
      <c r="H195" s="149">
        <v>18</v>
      </c>
      <c r="I195" s="149" t="s">
        <v>668</v>
      </c>
      <c r="J195" s="149" t="s">
        <v>669</v>
      </c>
      <c r="K195" s="161">
        <v>1</v>
      </c>
    </row>
    <row r="196" spans="1:11">
      <c r="A196" s="146">
        <v>189</v>
      </c>
      <c r="B196" s="147" t="s">
        <v>561</v>
      </c>
      <c r="C196" s="147" t="s">
        <v>142</v>
      </c>
      <c r="D196" s="148" t="s">
        <v>32</v>
      </c>
      <c r="E196" s="148" t="s">
        <v>115</v>
      </c>
      <c r="F196" s="149">
        <v>1037</v>
      </c>
      <c r="G196" s="149">
        <v>578</v>
      </c>
      <c r="H196" s="149">
        <v>18</v>
      </c>
      <c r="I196" s="149" t="s">
        <v>668</v>
      </c>
      <c r="J196" s="149" t="s">
        <v>669</v>
      </c>
      <c r="K196" s="161">
        <v>1</v>
      </c>
    </row>
    <row r="197" spans="1:11">
      <c r="A197" s="146">
        <v>190</v>
      </c>
      <c r="B197" s="147" t="s">
        <v>561</v>
      </c>
      <c r="C197" s="147" t="s">
        <v>223</v>
      </c>
      <c r="D197" s="148" t="s">
        <v>32</v>
      </c>
      <c r="E197" s="148" t="s">
        <v>115</v>
      </c>
      <c r="F197" s="149">
        <v>578</v>
      </c>
      <c r="G197" s="149">
        <v>2388</v>
      </c>
      <c r="H197" s="149">
        <v>18</v>
      </c>
      <c r="I197" s="149" t="s">
        <v>670</v>
      </c>
      <c r="J197" s="149" t="s">
        <v>671</v>
      </c>
      <c r="K197" s="161">
        <v>1</v>
      </c>
    </row>
    <row r="198" spans="1:11">
      <c r="A198" s="146">
        <v>191</v>
      </c>
      <c r="B198" s="147" t="s">
        <v>561</v>
      </c>
      <c r="C198" s="147" t="s">
        <v>145</v>
      </c>
      <c r="D198" s="148" t="s">
        <v>32</v>
      </c>
      <c r="E198" s="148" t="s">
        <v>115</v>
      </c>
      <c r="F198" s="149">
        <v>1073</v>
      </c>
      <c r="G198" s="149">
        <v>48</v>
      </c>
      <c r="H198" s="149">
        <v>18</v>
      </c>
      <c r="I198" s="149" t="s">
        <v>667</v>
      </c>
      <c r="J198" s="149" t="s">
        <v>211</v>
      </c>
      <c r="K198" s="161">
        <v>1</v>
      </c>
    </row>
    <row r="199" spans="1:11">
      <c r="A199" s="146">
        <v>192</v>
      </c>
      <c r="B199" s="147" t="s">
        <v>561</v>
      </c>
      <c r="C199" s="147" t="s">
        <v>146</v>
      </c>
      <c r="D199" s="148" t="s">
        <v>32</v>
      </c>
      <c r="E199" s="148" t="s">
        <v>115</v>
      </c>
      <c r="F199" s="149">
        <v>1073</v>
      </c>
      <c r="G199" s="149">
        <v>78</v>
      </c>
      <c r="H199" s="149">
        <v>18</v>
      </c>
      <c r="I199" s="149" t="s">
        <v>667</v>
      </c>
      <c r="J199" s="149" t="s">
        <v>211</v>
      </c>
      <c r="K199" s="161">
        <v>1</v>
      </c>
    </row>
    <row r="200" spans="1:11">
      <c r="A200" s="146">
        <v>193</v>
      </c>
      <c r="B200" s="147" t="s">
        <v>562</v>
      </c>
      <c r="C200" s="147" t="s">
        <v>199</v>
      </c>
      <c r="D200" s="148" t="s">
        <v>32</v>
      </c>
      <c r="E200" s="148" t="s">
        <v>115</v>
      </c>
      <c r="F200" s="149">
        <v>742</v>
      </c>
      <c r="G200" s="149">
        <v>58</v>
      </c>
      <c r="H200" s="149">
        <v>18</v>
      </c>
      <c r="I200" s="149" t="s">
        <v>667</v>
      </c>
      <c r="J200" s="149" t="s">
        <v>211</v>
      </c>
      <c r="K200" s="161">
        <v>2</v>
      </c>
    </row>
    <row r="201" spans="1:11">
      <c r="A201" s="146">
        <v>194</v>
      </c>
      <c r="B201" s="147" t="s">
        <v>562</v>
      </c>
      <c r="C201" s="147" t="s">
        <v>117</v>
      </c>
      <c r="D201" s="148" t="s">
        <v>32</v>
      </c>
      <c r="E201" s="148" t="s">
        <v>115</v>
      </c>
      <c r="F201" s="149">
        <v>742</v>
      </c>
      <c r="G201" s="149">
        <v>578</v>
      </c>
      <c r="H201" s="149">
        <v>18</v>
      </c>
      <c r="I201" s="149" t="s">
        <v>668</v>
      </c>
      <c r="J201" s="149" t="s">
        <v>669</v>
      </c>
      <c r="K201" s="161">
        <v>1</v>
      </c>
    </row>
    <row r="202" spans="1:11">
      <c r="A202" s="146">
        <v>195</v>
      </c>
      <c r="B202" s="147" t="s">
        <v>562</v>
      </c>
      <c r="C202" s="147" t="s">
        <v>129</v>
      </c>
      <c r="D202" s="148" t="s">
        <v>32</v>
      </c>
      <c r="E202" s="148" t="s">
        <v>115</v>
      </c>
      <c r="F202" s="149">
        <v>742</v>
      </c>
      <c r="G202" s="149">
        <v>578</v>
      </c>
      <c r="H202" s="149">
        <v>18</v>
      </c>
      <c r="I202" s="149" t="s">
        <v>668</v>
      </c>
      <c r="J202" s="149" t="s">
        <v>669</v>
      </c>
      <c r="K202" s="161">
        <v>1</v>
      </c>
    </row>
    <row r="203" spans="1:11">
      <c r="A203" s="146">
        <v>196</v>
      </c>
      <c r="B203" s="147" t="s">
        <v>562</v>
      </c>
      <c r="C203" s="147" t="s">
        <v>180</v>
      </c>
      <c r="D203" s="148" t="s">
        <v>32</v>
      </c>
      <c r="E203" s="148" t="s">
        <v>115</v>
      </c>
      <c r="F203" s="149">
        <v>742</v>
      </c>
      <c r="G203" s="149">
        <v>78</v>
      </c>
      <c r="H203" s="149">
        <v>18</v>
      </c>
      <c r="I203" s="149" t="s">
        <v>667</v>
      </c>
      <c r="J203" s="149" t="s">
        <v>211</v>
      </c>
      <c r="K203" s="161">
        <v>1</v>
      </c>
    </row>
    <row r="204" spans="1:11">
      <c r="A204" s="146">
        <v>197</v>
      </c>
      <c r="B204" s="147" t="s">
        <v>562</v>
      </c>
      <c r="C204" s="147" t="s">
        <v>129</v>
      </c>
      <c r="D204" s="148" t="s">
        <v>32</v>
      </c>
      <c r="E204" s="148" t="s">
        <v>115</v>
      </c>
      <c r="F204" s="149">
        <v>742</v>
      </c>
      <c r="G204" s="149">
        <v>573</v>
      </c>
      <c r="H204" s="149">
        <v>18</v>
      </c>
      <c r="I204" s="149" t="s">
        <v>668</v>
      </c>
      <c r="J204" s="149" t="s">
        <v>669</v>
      </c>
      <c r="K204" s="161">
        <v>1</v>
      </c>
    </row>
    <row r="205" spans="1:11">
      <c r="A205" s="146">
        <v>198</v>
      </c>
      <c r="B205" s="147" t="s">
        <v>562</v>
      </c>
      <c r="C205" s="147" t="s">
        <v>142</v>
      </c>
      <c r="D205" s="148" t="s">
        <v>32</v>
      </c>
      <c r="E205" s="148" t="s">
        <v>115</v>
      </c>
      <c r="F205" s="149">
        <v>742</v>
      </c>
      <c r="G205" s="149">
        <v>578</v>
      </c>
      <c r="H205" s="149">
        <v>18</v>
      </c>
      <c r="I205" s="149" t="s">
        <v>668</v>
      </c>
      <c r="J205" s="149" t="s">
        <v>669</v>
      </c>
      <c r="K205" s="161">
        <v>1</v>
      </c>
    </row>
    <row r="206" spans="1:11">
      <c r="A206" s="146">
        <v>199</v>
      </c>
      <c r="B206" s="147" t="s">
        <v>562</v>
      </c>
      <c r="C206" s="147" t="s">
        <v>145</v>
      </c>
      <c r="D206" s="148" t="s">
        <v>32</v>
      </c>
      <c r="E206" s="148" t="s">
        <v>115</v>
      </c>
      <c r="F206" s="149">
        <v>742</v>
      </c>
      <c r="G206" s="149">
        <v>48</v>
      </c>
      <c r="H206" s="149">
        <v>18</v>
      </c>
      <c r="I206" s="149" t="s">
        <v>667</v>
      </c>
      <c r="J206" s="149" t="s">
        <v>211</v>
      </c>
      <c r="K206" s="161">
        <v>1</v>
      </c>
    </row>
    <row r="207" spans="1:11">
      <c r="A207" s="146">
        <v>200</v>
      </c>
      <c r="B207" s="147" t="s">
        <v>562</v>
      </c>
      <c r="C207" s="147" t="s">
        <v>146</v>
      </c>
      <c r="D207" s="148" t="s">
        <v>32</v>
      </c>
      <c r="E207" s="148" t="s">
        <v>115</v>
      </c>
      <c r="F207" s="149">
        <v>742</v>
      </c>
      <c r="G207" s="149">
        <v>78</v>
      </c>
      <c r="H207" s="149">
        <v>18</v>
      </c>
      <c r="I207" s="149" t="s">
        <v>667</v>
      </c>
      <c r="J207" s="149" t="s">
        <v>211</v>
      </c>
      <c r="K207" s="161">
        <v>1</v>
      </c>
    </row>
    <row r="208" spans="1:11">
      <c r="A208" s="146">
        <v>201</v>
      </c>
      <c r="B208" s="147" t="s">
        <v>563</v>
      </c>
      <c r="C208" s="147" t="s">
        <v>110</v>
      </c>
      <c r="D208" s="148" t="s">
        <v>32</v>
      </c>
      <c r="E208" s="148" t="s">
        <v>115</v>
      </c>
      <c r="F208" s="149">
        <v>293</v>
      </c>
      <c r="G208" s="149">
        <v>2403</v>
      </c>
      <c r="H208" s="149">
        <v>18</v>
      </c>
      <c r="I208" s="149" t="s">
        <v>670</v>
      </c>
      <c r="J208" s="149" t="s">
        <v>671</v>
      </c>
      <c r="K208" s="161">
        <v>1</v>
      </c>
    </row>
    <row r="209" spans="1:11">
      <c r="A209" s="146">
        <v>202</v>
      </c>
      <c r="B209" s="147" t="s">
        <v>563</v>
      </c>
      <c r="C209" s="147" t="s">
        <v>199</v>
      </c>
      <c r="D209" s="148" t="s">
        <v>32</v>
      </c>
      <c r="E209" s="148" t="s">
        <v>115</v>
      </c>
      <c r="F209" s="149">
        <v>398</v>
      </c>
      <c r="G209" s="149">
        <v>58</v>
      </c>
      <c r="H209" s="149">
        <v>18</v>
      </c>
      <c r="I209" s="149" t="s">
        <v>667</v>
      </c>
      <c r="J209" s="149" t="s">
        <v>211</v>
      </c>
      <c r="K209" s="161">
        <v>2</v>
      </c>
    </row>
    <row r="210" spans="1:11">
      <c r="A210" s="146">
        <v>203</v>
      </c>
      <c r="B210" s="147" t="s">
        <v>563</v>
      </c>
      <c r="C210" s="147" t="s">
        <v>117</v>
      </c>
      <c r="D210" s="148" t="s">
        <v>32</v>
      </c>
      <c r="E210" s="148" t="s">
        <v>115</v>
      </c>
      <c r="F210" s="149">
        <v>398</v>
      </c>
      <c r="G210" s="149">
        <v>293</v>
      </c>
      <c r="H210" s="149">
        <v>18</v>
      </c>
      <c r="I210" s="149" t="s">
        <v>668</v>
      </c>
      <c r="J210" s="149" t="s">
        <v>669</v>
      </c>
      <c r="K210" s="161">
        <v>1</v>
      </c>
    </row>
    <row r="211" spans="1:11">
      <c r="A211" s="146">
        <v>204</v>
      </c>
      <c r="B211" s="147" t="s">
        <v>563</v>
      </c>
      <c r="C211" s="147" t="s">
        <v>129</v>
      </c>
      <c r="D211" s="148" t="s">
        <v>32</v>
      </c>
      <c r="E211" s="148" t="s">
        <v>115</v>
      </c>
      <c r="F211" s="149">
        <v>398</v>
      </c>
      <c r="G211" s="149">
        <v>288</v>
      </c>
      <c r="H211" s="149">
        <v>18</v>
      </c>
      <c r="I211" s="149" t="s">
        <v>668</v>
      </c>
      <c r="J211" s="149" t="s">
        <v>669</v>
      </c>
      <c r="K211" s="161">
        <v>3</v>
      </c>
    </row>
    <row r="212" spans="1:11">
      <c r="A212" s="146">
        <v>205</v>
      </c>
      <c r="B212" s="147" t="s">
        <v>563</v>
      </c>
      <c r="C212" s="147" t="s">
        <v>129</v>
      </c>
      <c r="D212" s="148" t="s">
        <v>32</v>
      </c>
      <c r="E212" s="148" t="s">
        <v>115</v>
      </c>
      <c r="F212" s="149">
        <v>398</v>
      </c>
      <c r="G212" s="149">
        <v>293</v>
      </c>
      <c r="H212" s="149">
        <v>18</v>
      </c>
      <c r="I212" s="149" t="s">
        <v>668</v>
      </c>
      <c r="J212" s="149" t="s">
        <v>669</v>
      </c>
      <c r="K212" s="161">
        <v>1</v>
      </c>
    </row>
    <row r="213" spans="1:11">
      <c r="A213" s="146">
        <v>206</v>
      </c>
      <c r="B213" s="147" t="s">
        <v>563</v>
      </c>
      <c r="C213" s="147" t="s">
        <v>221</v>
      </c>
      <c r="D213" s="148" t="s">
        <v>32</v>
      </c>
      <c r="E213" s="148" t="s">
        <v>115</v>
      </c>
      <c r="F213" s="149">
        <v>293</v>
      </c>
      <c r="G213" s="149">
        <v>2385</v>
      </c>
      <c r="H213" s="149">
        <v>18</v>
      </c>
      <c r="I213" s="149" t="s">
        <v>670</v>
      </c>
      <c r="J213" s="149" t="s">
        <v>671</v>
      </c>
      <c r="K213" s="161">
        <v>1</v>
      </c>
    </row>
    <row r="214" spans="1:11">
      <c r="A214" s="146">
        <v>207</v>
      </c>
      <c r="B214" s="147" t="s">
        <v>563</v>
      </c>
      <c r="C214" s="147" t="s">
        <v>117</v>
      </c>
      <c r="D214" s="148" t="s">
        <v>32</v>
      </c>
      <c r="E214" s="148" t="s">
        <v>115</v>
      </c>
      <c r="F214" s="149">
        <v>1967</v>
      </c>
      <c r="G214" s="149">
        <v>295</v>
      </c>
      <c r="H214" s="149">
        <v>18</v>
      </c>
      <c r="I214" s="149" t="s">
        <v>668</v>
      </c>
      <c r="J214" s="149" t="s">
        <v>669</v>
      </c>
      <c r="K214" s="161">
        <v>1</v>
      </c>
    </row>
    <row r="215" spans="1:11">
      <c r="A215" s="146">
        <v>208</v>
      </c>
      <c r="B215" s="147" t="s">
        <v>563</v>
      </c>
      <c r="C215" s="147" t="s">
        <v>114</v>
      </c>
      <c r="D215" s="148" t="s">
        <v>32</v>
      </c>
      <c r="E215" s="148" t="s">
        <v>115</v>
      </c>
      <c r="F215" s="149">
        <v>1396</v>
      </c>
      <c r="G215" s="149">
        <v>982</v>
      </c>
      <c r="H215" s="149">
        <v>18</v>
      </c>
      <c r="I215" s="149" t="s">
        <v>667</v>
      </c>
      <c r="J215" s="149" t="s">
        <v>211</v>
      </c>
      <c r="K215" s="161">
        <v>1</v>
      </c>
    </row>
    <row r="216" spans="1:11">
      <c r="A216" s="146">
        <v>209</v>
      </c>
      <c r="B216" s="147" t="s">
        <v>563</v>
      </c>
      <c r="C216" s="147" t="s">
        <v>114</v>
      </c>
      <c r="D216" s="148" t="s">
        <v>32</v>
      </c>
      <c r="E216" s="148" t="s">
        <v>115</v>
      </c>
      <c r="F216" s="149">
        <v>1396</v>
      </c>
      <c r="G216" s="149">
        <v>983</v>
      </c>
      <c r="H216" s="149">
        <v>18</v>
      </c>
      <c r="I216" s="149" t="s">
        <v>667</v>
      </c>
      <c r="J216" s="149" t="s">
        <v>211</v>
      </c>
      <c r="K216" s="161">
        <v>1</v>
      </c>
    </row>
    <row r="217" spans="1:11">
      <c r="A217" s="146">
        <v>210</v>
      </c>
      <c r="B217" s="147" t="s">
        <v>563</v>
      </c>
      <c r="C217" s="147" t="s">
        <v>129</v>
      </c>
      <c r="D217" s="148" t="s">
        <v>32</v>
      </c>
      <c r="E217" s="148" t="s">
        <v>115</v>
      </c>
      <c r="F217" s="149">
        <v>1967</v>
      </c>
      <c r="G217" s="149">
        <v>293</v>
      </c>
      <c r="H217" s="149">
        <v>18</v>
      </c>
      <c r="I217" s="149" t="s">
        <v>668</v>
      </c>
      <c r="J217" s="149" t="s">
        <v>669</v>
      </c>
      <c r="K217" s="161">
        <v>1</v>
      </c>
    </row>
    <row r="218" spans="1:11">
      <c r="A218" s="146">
        <v>211</v>
      </c>
      <c r="B218" s="147" t="s">
        <v>563</v>
      </c>
      <c r="C218" s="147" t="s">
        <v>129</v>
      </c>
      <c r="D218" s="148" t="s">
        <v>32</v>
      </c>
      <c r="E218" s="148" t="s">
        <v>115</v>
      </c>
      <c r="F218" s="149">
        <v>973</v>
      </c>
      <c r="G218" s="149">
        <v>288</v>
      </c>
      <c r="H218" s="149">
        <v>18</v>
      </c>
      <c r="I218" s="149" t="s">
        <v>668</v>
      </c>
      <c r="J218" s="149" t="s">
        <v>669</v>
      </c>
      <c r="K218" s="161">
        <v>2</v>
      </c>
    </row>
    <row r="219" spans="1:11">
      <c r="A219" s="146">
        <v>212</v>
      </c>
      <c r="B219" s="147" t="s">
        <v>563</v>
      </c>
      <c r="C219" s="147" t="s">
        <v>221</v>
      </c>
      <c r="D219" s="148" t="s">
        <v>32</v>
      </c>
      <c r="E219" s="148" t="s">
        <v>115</v>
      </c>
      <c r="F219" s="149">
        <v>293</v>
      </c>
      <c r="G219" s="149">
        <v>969</v>
      </c>
      <c r="H219" s="149">
        <v>18</v>
      </c>
      <c r="I219" s="149" t="s">
        <v>670</v>
      </c>
      <c r="J219" s="149" t="s">
        <v>671</v>
      </c>
      <c r="K219" s="161">
        <v>1</v>
      </c>
    </row>
    <row r="220" spans="1:11">
      <c r="A220" s="146">
        <v>213</v>
      </c>
      <c r="B220" s="147" t="s">
        <v>563</v>
      </c>
      <c r="C220" s="147" t="s">
        <v>129</v>
      </c>
      <c r="D220" s="148" t="s">
        <v>32</v>
      </c>
      <c r="E220" s="148" t="s">
        <v>115</v>
      </c>
      <c r="F220" s="149">
        <v>974</v>
      </c>
      <c r="G220" s="149">
        <v>288</v>
      </c>
      <c r="H220" s="149">
        <v>18</v>
      </c>
      <c r="I220" s="149" t="s">
        <v>668</v>
      </c>
      <c r="J220" s="149" t="s">
        <v>669</v>
      </c>
      <c r="K220" s="161">
        <v>2</v>
      </c>
    </row>
    <row r="221" spans="1:11">
      <c r="A221" s="146">
        <v>214</v>
      </c>
      <c r="B221" s="147" t="s">
        <v>563</v>
      </c>
      <c r="C221" s="147" t="s">
        <v>142</v>
      </c>
      <c r="D221" s="148" t="s">
        <v>32</v>
      </c>
      <c r="E221" s="148" t="s">
        <v>115</v>
      </c>
      <c r="F221" s="149">
        <v>2385</v>
      </c>
      <c r="G221" s="149">
        <v>293</v>
      </c>
      <c r="H221" s="149">
        <v>18</v>
      </c>
      <c r="I221" s="149" t="s">
        <v>668</v>
      </c>
      <c r="J221" s="149" t="s">
        <v>669</v>
      </c>
      <c r="K221" s="161">
        <v>1</v>
      </c>
    </row>
    <row r="222" spans="1:11">
      <c r="A222" s="146">
        <v>215</v>
      </c>
      <c r="B222" s="147" t="s">
        <v>563</v>
      </c>
      <c r="C222" s="147" t="s">
        <v>223</v>
      </c>
      <c r="D222" s="148" t="s">
        <v>32</v>
      </c>
      <c r="E222" s="148" t="s">
        <v>115</v>
      </c>
      <c r="F222" s="149">
        <v>293</v>
      </c>
      <c r="G222" s="149">
        <v>2403</v>
      </c>
      <c r="H222" s="149">
        <v>18</v>
      </c>
      <c r="I222" s="149" t="s">
        <v>670</v>
      </c>
      <c r="J222" s="149" t="s">
        <v>671</v>
      </c>
      <c r="K222" s="161">
        <v>1</v>
      </c>
    </row>
    <row r="223" spans="1:11">
      <c r="A223" s="146">
        <v>216</v>
      </c>
      <c r="B223" s="147" t="s">
        <v>563</v>
      </c>
      <c r="C223" s="147" t="s">
        <v>145</v>
      </c>
      <c r="D223" s="148" t="s">
        <v>32</v>
      </c>
      <c r="E223" s="148" t="s">
        <v>115</v>
      </c>
      <c r="F223" s="149">
        <v>2485</v>
      </c>
      <c r="G223" s="149">
        <v>48</v>
      </c>
      <c r="H223" s="149">
        <v>18</v>
      </c>
      <c r="I223" s="149" t="s">
        <v>667</v>
      </c>
      <c r="J223" s="149" t="s">
        <v>211</v>
      </c>
      <c r="K223" s="161">
        <v>1</v>
      </c>
    </row>
    <row r="224" spans="1:11">
      <c r="A224" s="146">
        <v>217</v>
      </c>
      <c r="B224" s="147" t="s">
        <v>563</v>
      </c>
      <c r="C224" s="147" t="s">
        <v>146</v>
      </c>
      <c r="D224" s="148" t="s">
        <v>32</v>
      </c>
      <c r="E224" s="148" t="s">
        <v>115</v>
      </c>
      <c r="F224" s="149">
        <v>2485</v>
      </c>
      <c r="G224" s="149">
        <v>78</v>
      </c>
      <c r="H224" s="149">
        <v>18</v>
      </c>
      <c r="I224" s="149" t="s">
        <v>667</v>
      </c>
      <c r="J224" s="149" t="s">
        <v>211</v>
      </c>
      <c r="K224" s="161">
        <v>1</v>
      </c>
    </row>
    <row r="225" spans="1:11">
      <c r="A225" s="146">
        <v>218</v>
      </c>
      <c r="B225" s="147" t="s">
        <v>564</v>
      </c>
      <c r="C225" s="147" t="s">
        <v>110</v>
      </c>
      <c r="D225" s="148" t="s">
        <v>32</v>
      </c>
      <c r="E225" s="148" t="s">
        <v>115</v>
      </c>
      <c r="F225" s="149">
        <v>528</v>
      </c>
      <c r="G225" s="149">
        <v>2293</v>
      </c>
      <c r="H225" s="149">
        <v>18</v>
      </c>
      <c r="I225" s="149" t="s">
        <v>670</v>
      </c>
      <c r="J225" s="149" t="s">
        <v>671</v>
      </c>
      <c r="K225" s="161">
        <v>1</v>
      </c>
    </row>
    <row r="226" spans="1:11">
      <c r="A226" s="146">
        <v>219</v>
      </c>
      <c r="B226" s="147" t="s">
        <v>564</v>
      </c>
      <c r="C226" s="147" t="s">
        <v>199</v>
      </c>
      <c r="D226" s="148" t="s">
        <v>32</v>
      </c>
      <c r="E226" s="148" t="s">
        <v>115</v>
      </c>
      <c r="F226" s="149">
        <v>1517</v>
      </c>
      <c r="G226" s="149">
        <v>58</v>
      </c>
      <c r="H226" s="149">
        <v>18</v>
      </c>
      <c r="I226" s="149" t="s">
        <v>667</v>
      </c>
      <c r="J226" s="149" t="s">
        <v>211</v>
      </c>
      <c r="K226" s="161">
        <v>2</v>
      </c>
    </row>
    <row r="227" spans="1:11">
      <c r="A227" s="146">
        <v>220</v>
      </c>
      <c r="B227" s="147" t="s">
        <v>564</v>
      </c>
      <c r="C227" s="147" t="s">
        <v>327</v>
      </c>
      <c r="D227" s="148" t="s">
        <v>32</v>
      </c>
      <c r="E227" s="148" t="s">
        <v>115</v>
      </c>
      <c r="F227" s="149">
        <v>472</v>
      </c>
      <c r="G227" s="149">
        <v>58</v>
      </c>
      <c r="H227" s="149">
        <v>18</v>
      </c>
      <c r="I227" s="149" t="s">
        <v>667</v>
      </c>
      <c r="J227" s="149" t="s">
        <v>211</v>
      </c>
      <c r="K227" s="161">
        <v>2</v>
      </c>
    </row>
    <row r="228" spans="1:11">
      <c r="A228" s="146">
        <v>221</v>
      </c>
      <c r="B228" s="147" t="s">
        <v>564</v>
      </c>
      <c r="C228" s="147" t="s">
        <v>117</v>
      </c>
      <c r="D228" s="148" t="s">
        <v>32</v>
      </c>
      <c r="E228" s="148" t="s">
        <v>115</v>
      </c>
      <c r="F228" s="149">
        <v>1517</v>
      </c>
      <c r="G228" s="149">
        <v>528</v>
      </c>
      <c r="H228" s="149">
        <v>18</v>
      </c>
      <c r="I228" s="149" t="s">
        <v>668</v>
      </c>
      <c r="J228" s="149" t="s">
        <v>669</v>
      </c>
      <c r="K228" s="161">
        <v>1</v>
      </c>
    </row>
    <row r="229" spans="1:11">
      <c r="A229" s="146">
        <v>222</v>
      </c>
      <c r="B229" s="147" t="s">
        <v>564</v>
      </c>
      <c r="C229" s="147" t="s">
        <v>110</v>
      </c>
      <c r="D229" s="148" t="s">
        <v>32</v>
      </c>
      <c r="E229" s="148" t="s">
        <v>115</v>
      </c>
      <c r="F229" s="149">
        <v>419</v>
      </c>
      <c r="G229" s="149">
        <v>178</v>
      </c>
      <c r="H229" s="149">
        <v>18</v>
      </c>
      <c r="I229" s="149" t="s">
        <v>670</v>
      </c>
      <c r="J229" s="149" t="s">
        <v>671</v>
      </c>
      <c r="K229" s="161">
        <v>2</v>
      </c>
    </row>
    <row r="230" spans="1:11">
      <c r="A230" s="146">
        <v>223</v>
      </c>
      <c r="B230" s="147" t="s">
        <v>564</v>
      </c>
      <c r="C230" s="147" t="s">
        <v>375</v>
      </c>
      <c r="D230" s="148" t="s">
        <v>32</v>
      </c>
      <c r="E230" s="148" t="s">
        <v>115</v>
      </c>
      <c r="F230" s="149">
        <v>419</v>
      </c>
      <c r="G230" s="149">
        <v>172</v>
      </c>
      <c r="H230" s="149">
        <v>18</v>
      </c>
      <c r="I230" s="149" t="s">
        <v>211</v>
      </c>
      <c r="J230" s="149" t="s">
        <v>667</v>
      </c>
      <c r="K230" s="161">
        <v>1</v>
      </c>
    </row>
    <row r="231" spans="1:11">
      <c r="A231" s="146">
        <v>224</v>
      </c>
      <c r="B231" s="147" t="s">
        <v>564</v>
      </c>
      <c r="C231" s="147" t="s">
        <v>123</v>
      </c>
      <c r="D231" s="148" t="s">
        <v>32</v>
      </c>
      <c r="E231" s="148" t="s">
        <v>115</v>
      </c>
      <c r="F231" s="149">
        <v>363</v>
      </c>
      <c r="G231" s="149">
        <v>148</v>
      </c>
      <c r="H231" s="149">
        <v>18</v>
      </c>
      <c r="I231" s="149" t="s">
        <v>667</v>
      </c>
      <c r="J231" s="149" t="s">
        <v>211</v>
      </c>
      <c r="K231" s="161">
        <v>1</v>
      </c>
    </row>
    <row r="232" spans="1:11">
      <c r="A232" s="146">
        <v>225</v>
      </c>
      <c r="B232" s="147" t="s">
        <v>564</v>
      </c>
      <c r="C232" s="147" t="s">
        <v>124</v>
      </c>
      <c r="D232" s="148" t="s">
        <v>32</v>
      </c>
      <c r="E232" s="148" t="s">
        <v>115</v>
      </c>
      <c r="F232" s="149">
        <v>398</v>
      </c>
      <c r="G232" s="149">
        <v>148</v>
      </c>
      <c r="H232" s="149">
        <v>18</v>
      </c>
      <c r="I232" s="149" t="s">
        <v>667</v>
      </c>
      <c r="J232" s="149" t="s">
        <v>211</v>
      </c>
      <c r="K232" s="161">
        <v>1</v>
      </c>
    </row>
    <row r="233" spans="1:11">
      <c r="A233" s="146">
        <v>226</v>
      </c>
      <c r="B233" s="147" t="s">
        <v>564</v>
      </c>
      <c r="C233" s="147" t="s">
        <v>126</v>
      </c>
      <c r="D233" s="148" t="s">
        <v>32</v>
      </c>
      <c r="E233" s="148" t="s">
        <v>115</v>
      </c>
      <c r="F233" s="149">
        <v>398</v>
      </c>
      <c r="G233" s="149">
        <v>148</v>
      </c>
      <c r="H233" s="149">
        <v>18</v>
      </c>
      <c r="I233" s="149" t="s">
        <v>667</v>
      </c>
      <c r="J233" s="149" t="s">
        <v>211</v>
      </c>
      <c r="K233" s="161">
        <v>1</v>
      </c>
    </row>
    <row r="234" spans="1:11">
      <c r="A234" s="146">
        <v>227</v>
      </c>
      <c r="B234" s="147" t="s">
        <v>564</v>
      </c>
      <c r="C234" s="147" t="s">
        <v>129</v>
      </c>
      <c r="D234" s="148" t="s">
        <v>32</v>
      </c>
      <c r="E234" s="148" t="s">
        <v>115</v>
      </c>
      <c r="F234" s="149">
        <v>461</v>
      </c>
      <c r="G234" s="149">
        <v>448</v>
      </c>
      <c r="H234" s="149">
        <v>18</v>
      </c>
      <c r="I234" s="149" t="s">
        <v>668</v>
      </c>
      <c r="J234" s="149" t="s">
        <v>669</v>
      </c>
      <c r="K234" s="161">
        <v>1</v>
      </c>
    </row>
    <row r="235" spans="1:11">
      <c r="A235" s="146">
        <v>228</v>
      </c>
      <c r="B235" s="147" t="s">
        <v>564</v>
      </c>
      <c r="C235" s="147" t="s">
        <v>129</v>
      </c>
      <c r="D235" s="148" t="s">
        <v>32</v>
      </c>
      <c r="E235" s="148" t="s">
        <v>115</v>
      </c>
      <c r="F235" s="149">
        <v>461</v>
      </c>
      <c r="G235" s="149">
        <v>523</v>
      </c>
      <c r="H235" s="149">
        <v>18</v>
      </c>
      <c r="I235" s="149" t="s">
        <v>668</v>
      </c>
      <c r="J235" s="149" t="s">
        <v>669</v>
      </c>
      <c r="K235" s="161">
        <v>1</v>
      </c>
    </row>
    <row r="236" spans="1:11">
      <c r="A236" s="146">
        <v>229</v>
      </c>
      <c r="B236" s="147" t="s">
        <v>564</v>
      </c>
      <c r="C236" s="147" t="s">
        <v>221</v>
      </c>
      <c r="D236" s="148" t="s">
        <v>32</v>
      </c>
      <c r="E236" s="148" t="s">
        <v>115</v>
      </c>
      <c r="F236" s="149">
        <v>528</v>
      </c>
      <c r="G236" s="149">
        <v>2197</v>
      </c>
      <c r="H236" s="149">
        <v>18</v>
      </c>
      <c r="I236" s="149" t="s">
        <v>670</v>
      </c>
      <c r="J236" s="149" t="s">
        <v>671</v>
      </c>
      <c r="K236" s="161">
        <v>1</v>
      </c>
    </row>
    <row r="237" spans="1:11">
      <c r="A237" s="146">
        <v>230</v>
      </c>
      <c r="B237" s="147" t="s">
        <v>564</v>
      </c>
      <c r="C237" s="147" t="s">
        <v>221</v>
      </c>
      <c r="D237" s="148" t="s">
        <v>32</v>
      </c>
      <c r="E237" s="148" t="s">
        <v>115</v>
      </c>
      <c r="F237" s="149">
        <v>78</v>
      </c>
      <c r="G237" s="149">
        <v>2197</v>
      </c>
      <c r="H237" s="149">
        <v>18</v>
      </c>
      <c r="I237" s="149" t="s">
        <v>670</v>
      </c>
      <c r="J237" s="149" t="s">
        <v>671</v>
      </c>
      <c r="K237" s="161">
        <v>1</v>
      </c>
    </row>
    <row r="238" spans="1:11">
      <c r="A238" s="146">
        <v>231</v>
      </c>
      <c r="B238" s="147" t="s">
        <v>564</v>
      </c>
      <c r="C238" s="147" t="s">
        <v>180</v>
      </c>
      <c r="D238" s="148" t="s">
        <v>32</v>
      </c>
      <c r="E238" s="148" t="s">
        <v>115</v>
      </c>
      <c r="F238" s="149">
        <v>1036</v>
      </c>
      <c r="G238" s="149">
        <v>78</v>
      </c>
      <c r="H238" s="149">
        <v>18</v>
      </c>
      <c r="I238" s="149" t="s">
        <v>667</v>
      </c>
      <c r="J238" s="149" t="s">
        <v>211</v>
      </c>
      <c r="K238" s="161">
        <v>2</v>
      </c>
    </row>
    <row r="239" spans="1:11">
      <c r="A239" s="146">
        <v>232</v>
      </c>
      <c r="B239" s="147" t="s">
        <v>564</v>
      </c>
      <c r="C239" s="147" t="s">
        <v>217</v>
      </c>
      <c r="D239" s="148" t="s">
        <v>32</v>
      </c>
      <c r="E239" s="148" t="s">
        <v>115</v>
      </c>
      <c r="F239" s="149">
        <v>1036</v>
      </c>
      <c r="G239" s="149">
        <v>523</v>
      </c>
      <c r="H239" s="149">
        <v>18</v>
      </c>
      <c r="I239" s="149" t="s">
        <v>668</v>
      </c>
      <c r="J239" s="149" t="s">
        <v>669</v>
      </c>
      <c r="K239" s="161">
        <v>1</v>
      </c>
    </row>
    <row r="240" spans="1:11">
      <c r="A240" s="146">
        <v>233</v>
      </c>
      <c r="B240" s="147" t="s">
        <v>564</v>
      </c>
      <c r="C240" s="147" t="s">
        <v>142</v>
      </c>
      <c r="D240" s="148" t="s">
        <v>32</v>
      </c>
      <c r="E240" s="148" t="s">
        <v>115</v>
      </c>
      <c r="F240" s="149">
        <v>1517</v>
      </c>
      <c r="G240" s="149">
        <v>528</v>
      </c>
      <c r="H240" s="149">
        <v>18</v>
      </c>
      <c r="I240" s="149" t="s">
        <v>668</v>
      </c>
      <c r="J240" s="149" t="s">
        <v>669</v>
      </c>
      <c r="K240" s="161">
        <v>1</v>
      </c>
    </row>
    <row r="241" spans="1:11">
      <c r="A241" s="146">
        <v>234</v>
      </c>
      <c r="B241" s="147" t="s">
        <v>564</v>
      </c>
      <c r="C241" s="147" t="s">
        <v>223</v>
      </c>
      <c r="D241" s="148" t="s">
        <v>32</v>
      </c>
      <c r="E241" s="148" t="s">
        <v>115</v>
      </c>
      <c r="F241" s="149">
        <v>528</v>
      </c>
      <c r="G241" s="149">
        <v>2293</v>
      </c>
      <c r="H241" s="149">
        <v>18</v>
      </c>
      <c r="I241" s="149" t="s">
        <v>670</v>
      </c>
      <c r="J241" s="149" t="s">
        <v>671</v>
      </c>
      <c r="K241" s="161">
        <v>1</v>
      </c>
    </row>
    <row r="242" spans="1:11">
      <c r="A242" s="146">
        <v>235</v>
      </c>
      <c r="B242" s="147" t="s">
        <v>564</v>
      </c>
      <c r="C242" s="147" t="s">
        <v>146</v>
      </c>
      <c r="D242" s="148" t="s">
        <v>32</v>
      </c>
      <c r="E242" s="148" t="s">
        <v>115</v>
      </c>
      <c r="F242" s="149">
        <v>1653</v>
      </c>
      <c r="G242" s="149">
        <v>78</v>
      </c>
      <c r="H242" s="149">
        <v>18</v>
      </c>
      <c r="I242" s="149" t="s">
        <v>667</v>
      </c>
      <c r="J242" s="149" t="s">
        <v>211</v>
      </c>
      <c r="K242" s="161">
        <v>1</v>
      </c>
    </row>
    <row r="243" spans="1:11">
      <c r="A243" s="146">
        <v>236</v>
      </c>
      <c r="B243" s="147" t="s">
        <v>565</v>
      </c>
      <c r="C243" s="147" t="s">
        <v>472</v>
      </c>
      <c r="D243" s="148" t="s">
        <v>32</v>
      </c>
      <c r="E243" s="148" t="s">
        <v>115</v>
      </c>
      <c r="F243" s="149">
        <v>598</v>
      </c>
      <c r="G243" s="149">
        <v>760</v>
      </c>
      <c r="H243" s="149">
        <v>18</v>
      </c>
      <c r="I243" s="149" t="s">
        <v>670</v>
      </c>
      <c r="J243" s="149" t="s">
        <v>671</v>
      </c>
      <c r="K243" s="161">
        <v>1</v>
      </c>
    </row>
    <row r="244" spans="1:11">
      <c r="A244" s="146">
        <v>237</v>
      </c>
      <c r="B244" s="147" t="s">
        <v>565</v>
      </c>
      <c r="C244" s="147" t="s">
        <v>129</v>
      </c>
      <c r="D244" s="148" t="s">
        <v>32</v>
      </c>
      <c r="E244" s="148" t="s">
        <v>115</v>
      </c>
      <c r="F244" s="149">
        <v>2467</v>
      </c>
      <c r="G244" s="149">
        <v>540</v>
      </c>
      <c r="H244" s="149">
        <v>18</v>
      </c>
      <c r="I244" s="149" t="s">
        <v>668</v>
      </c>
      <c r="J244" s="149" t="s">
        <v>669</v>
      </c>
      <c r="K244" s="161">
        <v>1</v>
      </c>
    </row>
    <row r="245" spans="1:11">
      <c r="A245" s="146">
        <v>238</v>
      </c>
      <c r="B245" s="147" t="s">
        <v>565</v>
      </c>
      <c r="C245" s="147" t="s">
        <v>123</v>
      </c>
      <c r="D245" s="148" t="s">
        <v>32</v>
      </c>
      <c r="E245" s="148" t="s">
        <v>115</v>
      </c>
      <c r="F245" s="149">
        <v>421</v>
      </c>
      <c r="G245" s="149">
        <v>138</v>
      </c>
      <c r="H245" s="149">
        <v>18</v>
      </c>
      <c r="I245" s="149" t="s">
        <v>667</v>
      </c>
      <c r="J245" s="149" t="s">
        <v>211</v>
      </c>
      <c r="K245" s="161">
        <v>1</v>
      </c>
    </row>
    <row r="246" spans="1:11">
      <c r="A246" s="146">
        <v>239</v>
      </c>
      <c r="B246" s="147" t="s">
        <v>565</v>
      </c>
      <c r="C246" s="147" t="s">
        <v>124</v>
      </c>
      <c r="D246" s="148" t="s">
        <v>32</v>
      </c>
      <c r="E246" s="148" t="s">
        <v>115</v>
      </c>
      <c r="F246" s="149">
        <v>498</v>
      </c>
      <c r="G246" s="149">
        <v>138</v>
      </c>
      <c r="H246" s="149">
        <v>18</v>
      </c>
      <c r="I246" s="149" t="s">
        <v>667</v>
      </c>
      <c r="J246" s="149" t="s">
        <v>211</v>
      </c>
      <c r="K246" s="161">
        <v>5</v>
      </c>
    </row>
    <row r="247" spans="1:11">
      <c r="A247" s="146">
        <v>240</v>
      </c>
      <c r="B247" s="147" t="s">
        <v>565</v>
      </c>
      <c r="C247" s="147" t="s">
        <v>126</v>
      </c>
      <c r="D247" s="148" t="s">
        <v>32</v>
      </c>
      <c r="E247" s="148" t="s">
        <v>115</v>
      </c>
      <c r="F247" s="149">
        <v>498</v>
      </c>
      <c r="G247" s="149">
        <v>138</v>
      </c>
      <c r="H247" s="149">
        <v>18</v>
      </c>
      <c r="I247" s="149" t="s">
        <v>667</v>
      </c>
      <c r="J247" s="149" t="s">
        <v>211</v>
      </c>
      <c r="K247" s="161">
        <v>5</v>
      </c>
    </row>
    <row r="248" spans="1:11">
      <c r="A248" s="146">
        <v>241</v>
      </c>
      <c r="B248" s="147" t="s">
        <v>565</v>
      </c>
      <c r="C248" s="147" t="s">
        <v>221</v>
      </c>
      <c r="D248" s="148" t="s">
        <v>32</v>
      </c>
      <c r="E248" s="148" t="s">
        <v>115</v>
      </c>
      <c r="F248" s="149">
        <v>540</v>
      </c>
      <c r="G248" s="149">
        <v>162</v>
      </c>
      <c r="H248" s="149">
        <v>18</v>
      </c>
      <c r="I248" s="149" t="s">
        <v>670</v>
      </c>
      <c r="J248" s="149" t="s">
        <v>671</v>
      </c>
      <c r="K248" s="161">
        <v>4</v>
      </c>
    </row>
    <row r="249" spans="1:11">
      <c r="A249" s="146">
        <v>242</v>
      </c>
      <c r="B249" s="147" t="s">
        <v>565</v>
      </c>
      <c r="C249" s="147" t="s">
        <v>123</v>
      </c>
      <c r="D249" s="148" t="s">
        <v>32</v>
      </c>
      <c r="E249" s="148" t="s">
        <v>115</v>
      </c>
      <c r="F249" s="149">
        <v>412</v>
      </c>
      <c r="G249" s="149">
        <v>138</v>
      </c>
      <c r="H249" s="149">
        <v>18</v>
      </c>
      <c r="I249" s="149" t="s">
        <v>667</v>
      </c>
      <c r="J249" s="149" t="s">
        <v>211</v>
      </c>
      <c r="K249" s="161">
        <v>3</v>
      </c>
    </row>
    <row r="250" spans="1:11">
      <c r="A250" s="146">
        <v>243</v>
      </c>
      <c r="B250" s="147" t="s">
        <v>565</v>
      </c>
      <c r="C250" s="147" t="s">
        <v>123</v>
      </c>
      <c r="D250" s="148" t="s">
        <v>32</v>
      </c>
      <c r="E250" s="148" t="s">
        <v>115</v>
      </c>
      <c r="F250" s="149">
        <v>420</v>
      </c>
      <c r="G250" s="149">
        <v>138</v>
      </c>
      <c r="H250" s="149">
        <v>18</v>
      </c>
      <c r="I250" s="149" t="s">
        <v>667</v>
      </c>
      <c r="J250" s="149" t="s">
        <v>211</v>
      </c>
      <c r="K250" s="161">
        <v>1</v>
      </c>
    </row>
    <row r="251" spans="1:11">
      <c r="A251" s="146">
        <v>244</v>
      </c>
      <c r="B251" s="147" t="s">
        <v>565</v>
      </c>
      <c r="C251" s="147" t="s">
        <v>114</v>
      </c>
      <c r="D251" s="148" t="s">
        <v>32</v>
      </c>
      <c r="E251" s="148" t="s">
        <v>115</v>
      </c>
      <c r="F251" s="149">
        <v>760</v>
      </c>
      <c r="G251" s="149">
        <v>2467</v>
      </c>
      <c r="H251" s="149">
        <v>18</v>
      </c>
      <c r="I251" s="149" t="s">
        <v>667</v>
      </c>
      <c r="J251" s="149" t="s">
        <v>211</v>
      </c>
      <c r="K251" s="161">
        <v>1</v>
      </c>
    </row>
    <row r="252" spans="1:11">
      <c r="A252" s="146">
        <v>245</v>
      </c>
      <c r="B252" s="147" t="s">
        <v>565</v>
      </c>
      <c r="C252" s="147" t="s">
        <v>486</v>
      </c>
      <c r="D252" s="148" t="s">
        <v>32</v>
      </c>
      <c r="E252" s="148" t="s">
        <v>115</v>
      </c>
      <c r="F252" s="149">
        <v>598</v>
      </c>
      <c r="G252" s="149">
        <v>760</v>
      </c>
      <c r="H252" s="149">
        <v>18</v>
      </c>
      <c r="I252" s="149" t="s">
        <v>670</v>
      </c>
      <c r="J252" s="149" t="s">
        <v>671</v>
      </c>
      <c r="K252" s="161">
        <v>1</v>
      </c>
    </row>
    <row r="253" spans="1:11">
      <c r="A253" s="146">
        <v>246</v>
      </c>
      <c r="B253" s="147" t="s">
        <v>565</v>
      </c>
      <c r="C253" s="147" t="s">
        <v>129</v>
      </c>
      <c r="D253" s="148" t="s">
        <v>32</v>
      </c>
      <c r="E253" s="148" t="s">
        <v>115</v>
      </c>
      <c r="F253" s="149">
        <v>2503</v>
      </c>
      <c r="G253" s="149">
        <v>598</v>
      </c>
      <c r="H253" s="149">
        <v>18</v>
      </c>
      <c r="I253" s="149" t="s">
        <v>668</v>
      </c>
      <c r="J253" s="149" t="s">
        <v>669</v>
      </c>
      <c r="K253" s="161">
        <v>1</v>
      </c>
    </row>
    <row r="254" spans="1:11">
      <c r="A254" s="146">
        <v>247</v>
      </c>
      <c r="B254" s="147" t="s">
        <v>565</v>
      </c>
      <c r="C254" s="147" t="s">
        <v>472</v>
      </c>
      <c r="D254" s="148" t="s">
        <v>32</v>
      </c>
      <c r="E254" s="148" t="s">
        <v>115</v>
      </c>
      <c r="F254" s="149">
        <v>298</v>
      </c>
      <c r="G254" s="149">
        <v>1673</v>
      </c>
      <c r="H254" s="149">
        <v>18</v>
      </c>
      <c r="I254" s="149" t="s">
        <v>670</v>
      </c>
      <c r="J254" s="149" t="s">
        <v>671</v>
      </c>
      <c r="K254" s="161">
        <v>1</v>
      </c>
    </row>
    <row r="255" spans="1:11">
      <c r="A255" s="146">
        <v>248</v>
      </c>
      <c r="B255" s="147" t="s">
        <v>565</v>
      </c>
      <c r="C255" s="147" t="s">
        <v>114</v>
      </c>
      <c r="D255" s="148" t="s">
        <v>32</v>
      </c>
      <c r="E255" s="148" t="s">
        <v>115</v>
      </c>
      <c r="F255" s="149">
        <v>598</v>
      </c>
      <c r="G255" s="149">
        <v>2467</v>
      </c>
      <c r="H255" s="149">
        <v>18</v>
      </c>
      <c r="I255" s="149" t="s">
        <v>667</v>
      </c>
      <c r="J255" s="149" t="s">
        <v>211</v>
      </c>
      <c r="K255" s="161">
        <v>1</v>
      </c>
    </row>
    <row r="256" spans="1:11">
      <c r="A256" s="146">
        <v>249</v>
      </c>
      <c r="B256" s="147" t="s">
        <v>565</v>
      </c>
      <c r="C256" s="147" t="s">
        <v>129</v>
      </c>
      <c r="D256" s="148" t="s">
        <v>32</v>
      </c>
      <c r="E256" s="148" t="s">
        <v>115</v>
      </c>
      <c r="F256" s="149">
        <v>2467</v>
      </c>
      <c r="G256" s="149">
        <v>278</v>
      </c>
      <c r="H256" s="149">
        <v>18</v>
      </c>
      <c r="I256" s="149" t="s">
        <v>668</v>
      </c>
      <c r="J256" s="149" t="s">
        <v>669</v>
      </c>
      <c r="K256" s="161">
        <v>1</v>
      </c>
    </row>
    <row r="257" spans="1:11">
      <c r="A257" s="146">
        <v>250</v>
      </c>
      <c r="B257" s="147" t="s">
        <v>565</v>
      </c>
      <c r="C257" s="147" t="s">
        <v>129</v>
      </c>
      <c r="D257" s="148" t="s">
        <v>32</v>
      </c>
      <c r="E257" s="148" t="s">
        <v>115</v>
      </c>
      <c r="F257" s="149">
        <v>803</v>
      </c>
      <c r="G257" s="149">
        <v>273</v>
      </c>
      <c r="H257" s="149">
        <v>18</v>
      </c>
      <c r="I257" s="149" t="s">
        <v>668</v>
      </c>
      <c r="J257" s="149" t="s">
        <v>669</v>
      </c>
      <c r="K257" s="161">
        <v>4</v>
      </c>
    </row>
    <row r="258" spans="1:11">
      <c r="A258" s="146">
        <v>251</v>
      </c>
      <c r="B258" s="147" t="s">
        <v>565</v>
      </c>
      <c r="C258" s="147" t="s">
        <v>221</v>
      </c>
      <c r="D258" s="148" t="s">
        <v>32</v>
      </c>
      <c r="E258" s="148" t="s">
        <v>115</v>
      </c>
      <c r="F258" s="149">
        <v>278</v>
      </c>
      <c r="G258" s="149">
        <v>987</v>
      </c>
      <c r="H258" s="149">
        <v>18</v>
      </c>
      <c r="I258" s="149" t="s">
        <v>670</v>
      </c>
      <c r="J258" s="149" t="s">
        <v>671</v>
      </c>
      <c r="K258" s="161">
        <v>2</v>
      </c>
    </row>
    <row r="259" spans="1:11">
      <c r="A259" s="146">
        <v>252</v>
      </c>
      <c r="B259" s="147" t="s">
        <v>565</v>
      </c>
      <c r="C259" s="147" t="s">
        <v>129</v>
      </c>
      <c r="D259" s="148" t="s">
        <v>32</v>
      </c>
      <c r="E259" s="148" t="s">
        <v>115</v>
      </c>
      <c r="F259" s="149">
        <v>821</v>
      </c>
      <c r="G259" s="149">
        <v>278</v>
      </c>
      <c r="H259" s="149">
        <v>18</v>
      </c>
      <c r="I259" s="149" t="s">
        <v>668</v>
      </c>
      <c r="J259" s="149" t="s">
        <v>669</v>
      </c>
      <c r="K259" s="161">
        <v>1</v>
      </c>
    </row>
    <row r="260" spans="1:11">
      <c r="A260" s="146">
        <v>253</v>
      </c>
      <c r="B260" s="147" t="s">
        <v>565</v>
      </c>
      <c r="C260" s="147" t="s">
        <v>129</v>
      </c>
      <c r="D260" s="148" t="s">
        <v>32</v>
      </c>
      <c r="E260" s="148" t="s">
        <v>115</v>
      </c>
      <c r="F260" s="149">
        <v>821</v>
      </c>
      <c r="G260" s="149">
        <v>273</v>
      </c>
      <c r="H260" s="149">
        <v>18</v>
      </c>
      <c r="I260" s="149" t="s">
        <v>668</v>
      </c>
      <c r="J260" s="149" t="s">
        <v>669</v>
      </c>
      <c r="K260" s="161">
        <v>1</v>
      </c>
    </row>
    <row r="261" spans="1:11">
      <c r="A261" s="146">
        <v>254</v>
      </c>
      <c r="B261" s="147" t="s">
        <v>565</v>
      </c>
      <c r="C261" s="147" t="s">
        <v>142</v>
      </c>
      <c r="D261" s="148" t="s">
        <v>32</v>
      </c>
      <c r="E261" s="148" t="s">
        <v>115</v>
      </c>
      <c r="F261" s="149">
        <v>2467</v>
      </c>
      <c r="G261" s="149">
        <v>278</v>
      </c>
      <c r="H261" s="149">
        <v>18</v>
      </c>
      <c r="I261" s="149" t="s">
        <v>668</v>
      </c>
      <c r="J261" s="149" t="s">
        <v>669</v>
      </c>
      <c r="K261" s="161">
        <v>1</v>
      </c>
    </row>
    <row r="262" spans="1:11">
      <c r="A262" s="146">
        <v>255</v>
      </c>
      <c r="B262" s="147" t="s">
        <v>565</v>
      </c>
      <c r="C262" s="147" t="s">
        <v>145</v>
      </c>
      <c r="D262" s="148" t="s">
        <v>32</v>
      </c>
      <c r="E262" s="148" t="s">
        <v>115</v>
      </c>
      <c r="F262" s="149">
        <v>2467</v>
      </c>
      <c r="G262" s="149">
        <v>48</v>
      </c>
      <c r="H262" s="149">
        <v>18</v>
      </c>
      <c r="I262" s="149" t="s">
        <v>667</v>
      </c>
      <c r="J262" s="149" t="s">
        <v>211</v>
      </c>
      <c r="K262" s="161">
        <v>1</v>
      </c>
    </row>
    <row r="263" spans="1:11">
      <c r="A263" s="146">
        <v>256</v>
      </c>
      <c r="B263" s="147" t="s">
        <v>565</v>
      </c>
      <c r="C263" s="147" t="s">
        <v>146</v>
      </c>
      <c r="D263" s="148" t="s">
        <v>32</v>
      </c>
      <c r="E263" s="148" t="s">
        <v>115</v>
      </c>
      <c r="F263" s="149">
        <v>2467</v>
      </c>
      <c r="G263" s="149">
        <v>78</v>
      </c>
      <c r="H263" s="149">
        <v>18</v>
      </c>
      <c r="I263" s="149" t="s">
        <v>667</v>
      </c>
      <c r="J263" s="149" t="s">
        <v>211</v>
      </c>
      <c r="K263" s="161">
        <v>1</v>
      </c>
    </row>
    <row r="264" spans="1:11">
      <c r="A264" s="146">
        <v>257</v>
      </c>
      <c r="B264" s="147" t="s">
        <v>565</v>
      </c>
      <c r="C264" s="147" t="s">
        <v>486</v>
      </c>
      <c r="D264" s="148" t="s">
        <v>32</v>
      </c>
      <c r="E264" s="148" t="s">
        <v>115</v>
      </c>
      <c r="F264" s="149">
        <v>298</v>
      </c>
      <c r="G264" s="149">
        <v>1673</v>
      </c>
      <c r="H264" s="149">
        <v>18</v>
      </c>
      <c r="I264" s="149" t="s">
        <v>670</v>
      </c>
      <c r="J264" s="149" t="s">
        <v>671</v>
      </c>
      <c r="K264" s="161">
        <v>1</v>
      </c>
    </row>
    <row r="265" spans="1:11">
      <c r="A265" s="146">
        <v>258</v>
      </c>
      <c r="B265" s="147" t="s">
        <v>41</v>
      </c>
      <c r="C265" s="147" t="s">
        <v>199</v>
      </c>
      <c r="D265" s="148" t="s">
        <v>32</v>
      </c>
      <c r="E265" s="148" t="s">
        <v>115</v>
      </c>
      <c r="F265" s="149">
        <v>448</v>
      </c>
      <c r="G265" s="149">
        <v>58</v>
      </c>
      <c r="H265" s="149">
        <v>18</v>
      </c>
      <c r="I265" s="149" t="s">
        <v>667</v>
      </c>
      <c r="J265" s="149" t="s">
        <v>211</v>
      </c>
      <c r="K265" s="161">
        <v>2</v>
      </c>
    </row>
    <row r="266" spans="1:11">
      <c r="A266" s="146">
        <v>259</v>
      </c>
      <c r="B266" s="147" t="s">
        <v>41</v>
      </c>
      <c r="C266" s="147" t="s">
        <v>117</v>
      </c>
      <c r="D266" s="148" t="s">
        <v>32</v>
      </c>
      <c r="E266" s="148" t="s">
        <v>115</v>
      </c>
      <c r="F266" s="149">
        <v>448</v>
      </c>
      <c r="G266" s="149">
        <v>328</v>
      </c>
      <c r="H266" s="149">
        <v>18</v>
      </c>
      <c r="I266" s="149" t="s">
        <v>668</v>
      </c>
      <c r="J266" s="149" t="s">
        <v>669</v>
      </c>
      <c r="K266" s="161">
        <v>1</v>
      </c>
    </row>
    <row r="267" spans="1:11">
      <c r="A267" s="146">
        <v>260</v>
      </c>
      <c r="B267" s="147" t="s">
        <v>41</v>
      </c>
      <c r="C267" s="147" t="s">
        <v>129</v>
      </c>
      <c r="D267" s="148" t="s">
        <v>32</v>
      </c>
      <c r="E267" s="148" t="s">
        <v>115</v>
      </c>
      <c r="F267" s="149">
        <v>448</v>
      </c>
      <c r="G267" s="149">
        <v>323</v>
      </c>
      <c r="H267" s="149">
        <v>18</v>
      </c>
      <c r="I267" s="149" t="s">
        <v>668</v>
      </c>
      <c r="J267" s="149" t="s">
        <v>669</v>
      </c>
      <c r="K267" s="161">
        <v>4</v>
      </c>
    </row>
    <row r="268" spans="1:11">
      <c r="A268" s="146">
        <v>261</v>
      </c>
      <c r="B268" s="147" t="s">
        <v>41</v>
      </c>
      <c r="C268" s="147" t="s">
        <v>180</v>
      </c>
      <c r="D268" s="148" t="s">
        <v>32</v>
      </c>
      <c r="E268" s="148" t="s">
        <v>115</v>
      </c>
      <c r="F268" s="149">
        <v>448</v>
      </c>
      <c r="G268" s="149">
        <v>78</v>
      </c>
      <c r="H268" s="149">
        <v>18</v>
      </c>
      <c r="I268" s="149" t="s">
        <v>667</v>
      </c>
      <c r="J268" s="149" t="s">
        <v>211</v>
      </c>
      <c r="K268" s="161">
        <v>2</v>
      </c>
    </row>
    <row r="269" spans="1:11">
      <c r="A269" s="146">
        <v>262</v>
      </c>
      <c r="B269" s="147" t="s">
        <v>41</v>
      </c>
      <c r="C269" s="147" t="s">
        <v>142</v>
      </c>
      <c r="D269" s="148" t="s">
        <v>32</v>
      </c>
      <c r="E269" s="148" t="s">
        <v>115</v>
      </c>
      <c r="F269" s="149">
        <v>448</v>
      </c>
      <c r="G269" s="149">
        <v>328</v>
      </c>
      <c r="H269" s="149">
        <v>18</v>
      </c>
      <c r="I269" s="149" t="s">
        <v>668</v>
      </c>
      <c r="J269" s="149" t="s">
        <v>669</v>
      </c>
      <c r="K269" s="161">
        <v>1</v>
      </c>
    </row>
    <row r="270" spans="1:11">
      <c r="A270" s="146">
        <v>263</v>
      </c>
      <c r="B270" s="147" t="s">
        <v>41</v>
      </c>
      <c r="C270" s="147" t="s">
        <v>145</v>
      </c>
      <c r="D270" s="148" t="s">
        <v>32</v>
      </c>
      <c r="E270" s="148" t="s">
        <v>115</v>
      </c>
      <c r="F270" s="149">
        <v>448</v>
      </c>
      <c r="G270" s="149">
        <v>48</v>
      </c>
      <c r="H270" s="149">
        <v>18</v>
      </c>
      <c r="I270" s="149" t="s">
        <v>667</v>
      </c>
      <c r="J270" s="149" t="s">
        <v>211</v>
      </c>
      <c r="K270" s="161">
        <v>1</v>
      </c>
    </row>
    <row r="271" spans="1:11">
      <c r="A271" s="146">
        <v>264</v>
      </c>
      <c r="B271" s="147" t="s">
        <v>41</v>
      </c>
      <c r="C271" s="147" t="s">
        <v>146</v>
      </c>
      <c r="D271" s="148" t="s">
        <v>32</v>
      </c>
      <c r="E271" s="148" t="s">
        <v>115</v>
      </c>
      <c r="F271" s="149">
        <v>448</v>
      </c>
      <c r="G271" s="149">
        <v>78</v>
      </c>
      <c r="H271" s="149">
        <v>18</v>
      </c>
      <c r="I271" s="149" t="s">
        <v>667</v>
      </c>
      <c r="J271" s="149" t="s">
        <v>211</v>
      </c>
      <c r="K271" s="161">
        <v>1</v>
      </c>
    </row>
    <row r="272" spans="1:11">
      <c r="A272" s="146">
        <v>265</v>
      </c>
      <c r="B272" s="147" t="s">
        <v>566</v>
      </c>
      <c r="C272" s="147" t="s">
        <v>110</v>
      </c>
      <c r="D272" s="148" t="s">
        <v>32</v>
      </c>
      <c r="E272" s="148" t="s">
        <v>115</v>
      </c>
      <c r="F272" s="149">
        <v>328</v>
      </c>
      <c r="G272" s="149">
        <v>298</v>
      </c>
      <c r="H272" s="149">
        <v>18</v>
      </c>
      <c r="I272" s="149" t="s">
        <v>670</v>
      </c>
      <c r="J272" s="149" t="s">
        <v>671</v>
      </c>
      <c r="K272" s="161">
        <v>1</v>
      </c>
    </row>
    <row r="273" spans="1:11">
      <c r="A273" s="146">
        <v>266</v>
      </c>
      <c r="B273" s="147" t="s">
        <v>566</v>
      </c>
      <c r="C273" s="147" t="s">
        <v>516</v>
      </c>
      <c r="D273" s="148" t="s">
        <v>32</v>
      </c>
      <c r="E273" s="148" t="s">
        <v>115</v>
      </c>
      <c r="F273" s="149">
        <v>658</v>
      </c>
      <c r="G273" s="149">
        <v>78</v>
      </c>
      <c r="H273" s="149">
        <v>18</v>
      </c>
      <c r="I273" s="149" t="s">
        <v>667</v>
      </c>
      <c r="J273" s="149" t="s">
        <v>211</v>
      </c>
      <c r="K273" s="161">
        <v>2</v>
      </c>
    </row>
    <row r="274" spans="1:11">
      <c r="A274" s="146">
        <v>267</v>
      </c>
      <c r="B274" s="147" t="s">
        <v>566</v>
      </c>
      <c r="C274" s="147" t="s">
        <v>117</v>
      </c>
      <c r="D274" s="148" t="s">
        <v>32</v>
      </c>
      <c r="E274" s="148" t="s">
        <v>115</v>
      </c>
      <c r="F274" s="149">
        <v>658</v>
      </c>
      <c r="G274" s="149">
        <v>328</v>
      </c>
      <c r="H274" s="149">
        <v>18</v>
      </c>
      <c r="I274" s="149" t="s">
        <v>668</v>
      </c>
      <c r="J274" s="149" t="s">
        <v>669</v>
      </c>
      <c r="K274" s="161">
        <v>1</v>
      </c>
    </row>
    <row r="275" spans="1:11">
      <c r="A275" s="146">
        <v>268</v>
      </c>
      <c r="B275" s="147" t="s">
        <v>566</v>
      </c>
      <c r="C275" s="147" t="s">
        <v>121</v>
      </c>
      <c r="D275" s="148" t="s">
        <v>32</v>
      </c>
      <c r="E275" s="148" t="s">
        <v>115</v>
      </c>
      <c r="F275" s="149">
        <v>596</v>
      </c>
      <c r="G275" s="149">
        <v>218</v>
      </c>
      <c r="H275" s="149">
        <v>18</v>
      </c>
      <c r="I275" s="149" t="s">
        <v>667</v>
      </c>
      <c r="J275" s="149" t="s">
        <v>211</v>
      </c>
      <c r="K275" s="161">
        <v>1</v>
      </c>
    </row>
    <row r="276" spans="1:11">
      <c r="A276" s="146">
        <v>269</v>
      </c>
      <c r="B276" s="147" t="s">
        <v>566</v>
      </c>
      <c r="C276" s="147" t="s">
        <v>123</v>
      </c>
      <c r="D276" s="148" t="s">
        <v>32</v>
      </c>
      <c r="E276" s="148" t="s">
        <v>115</v>
      </c>
      <c r="F276" s="149">
        <v>596</v>
      </c>
      <c r="G276" s="149">
        <v>218</v>
      </c>
      <c r="H276" s="149">
        <v>18</v>
      </c>
      <c r="I276" s="149" t="s">
        <v>667</v>
      </c>
      <c r="J276" s="149" t="s">
        <v>211</v>
      </c>
      <c r="K276" s="161">
        <v>1</v>
      </c>
    </row>
    <row r="277" spans="1:11">
      <c r="A277" s="146">
        <v>270</v>
      </c>
      <c r="B277" s="147" t="s">
        <v>566</v>
      </c>
      <c r="C277" s="147" t="s">
        <v>124</v>
      </c>
      <c r="D277" s="148" t="s">
        <v>32</v>
      </c>
      <c r="E277" s="148" t="s">
        <v>115</v>
      </c>
      <c r="F277" s="149">
        <v>248</v>
      </c>
      <c r="G277" s="149">
        <v>218</v>
      </c>
      <c r="H277" s="149">
        <v>18</v>
      </c>
      <c r="I277" s="149" t="s">
        <v>667</v>
      </c>
      <c r="J277" s="149" t="s">
        <v>211</v>
      </c>
      <c r="K277" s="161">
        <v>1</v>
      </c>
    </row>
    <row r="278" spans="1:11">
      <c r="A278" s="146">
        <v>271</v>
      </c>
      <c r="B278" s="147" t="s">
        <v>566</v>
      </c>
      <c r="C278" s="147" t="s">
        <v>126</v>
      </c>
      <c r="D278" s="148" t="s">
        <v>32</v>
      </c>
      <c r="E278" s="148" t="s">
        <v>115</v>
      </c>
      <c r="F278" s="149">
        <v>248</v>
      </c>
      <c r="G278" s="149">
        <v>218</v>
      </c>
      <c r="H278" s="149">
        <v>18</v>
      </c>
      <c r="I278" s="149" t="s">
        <v>667</v>
      </c>
      <c r="J278" s="149" t="s">
        <v>211</v>
      </c>
      <c r="K278" s="161">
        <v>1</v>
      </c>
    </row>
    <row r="279" spans="1:11">
      <c r="A279" s="146">
        <v>272</v>
      </c>
      <c r="B279" s="147" t="s">
        <v>566</v>
      </c>
      <c r="C279" s="147" t="s">
        <v>223</v>
      </c>
      <c r="D279" s="148" t="s">
        <v>32</v>
      </c>
      <c r="E279" s="148" t="s">
        <v>115</v>
      </c>
      <c r="F279" s="149">
        <v>328</v>
      </c>
      <c r="G279" s="149">
        <v>298</v>
      </c>
      <c r="H279" s="149">
        <v>18</v>
      </c>
      <c r="I279" s="149" t="s">
        <v>670</v>
      </c>
      <c r="J279" s="149" t="s">
        <v>671</v>
      </c>
      <c r="K279" s="161">
        <v>1</v>
      </c>
    </row>
    <row r="280" spans="1:11">
      <c r="A280" s="146">
        <v>273</v>
      </c>
      <c r="B280" s="147" t="s">
        <v>567</v>
      </c>
      <c r="C280" s="147" t="s">
        <v>110</v>
      </c>
      <c r="D280" s="148" t="s">
        <v>32</v>
      </c>
      <c r="E280" s="148" t="s">
        <v>115</v>
      </c>
      <c r="F280" s="149">
        <v>328</v>
      </c>
      <c r="G280" s="149">
        <v>298</v>
      </c>
      <c r="H280" s="149">
        <v>18</v>
      </c>
      <c r="I280" s="149" t="s">
        <v>670</v>
      </c>
      <c r="J280" s="149" t="s">
        <v>671</v>
      </c>
      <c r="K280" s="161">
        <v>1</v>
      </c>
    </row>
    <row r="281" spans="1:11">
      <c r="A281" s="146">
        <v>274</v>
      </c>
      <c r="B281" s="147" t="s">
        <v>567</v>
      </c>
      <c r="C281" s="147" t="s">
        <v>516</v>
      </c>
      <c r="D281" s="148" t="s">
        <v>32</v>
      </c>
      <c r="E281" s="148" t="s">
        <v>115</v>
      </c>
      <c r="F281" s="149">
        <v>855</v>
      </c>
      <c r="G281" s="149">
        <v>78</v>
      </c>
      <c r="H281" s="149">
        <v>18</v>
      </c>
      <c r="I281" s="149" t="s">
        <v>667</v>
      </c>
      <c r="J281" s="149" t="s">
        <v>211</v>
      </c>
      <c r="K281" s="161">
        <v>2</v>
      </c>
    </row>
    <row r="282" spans="1:11">
      <c r="A282" s="146">
        <v>275</v>
      </c>
      <c r="B282" s="147" t="s">
        <v>567</v>
      </c>
      <c r="C282" s="147" t="s">
        <v>117</v>
      </c>
      <c r="D282" s="148" t="s">
        <v>32</v>
      </c>
      <c r="E282" s="148" t="s">
        <v>115</v>
      </c>
      <c r="F282" s="149">
        <v>855</v>
      </c>
      <c r="G282" s="149">
        <v>328</v>
      </c>
      <c r="H282" s="149">
        <v>18</v>
      </c>
      <c r="I282" s="149" t="s">
        <v>668</v>
      </c>
      <c r="J282" s="149" t="s">
        <v>669</v>
      </c>
      <c r="K282" s="161">
        <v>1</v>
      </c>
    </row>
    <row r="283" spans="1:11">
      <c r="A283" s="146">
        <v>276</v>
      </c>
      <c r="B283" s="147" t="s">
        <v>567</v>
      </c>
      <c r="C283" s="147" t="s">
        <v>114</v>
      </c>
      <c r="D283" s="148" t="s">
        <v>32</v>
      </c>
      <c r="E283" s="148" t="s">
        <v>115</v>
      </c>
      <c r="F283" s="149">
        <v>262</v>
      </c>
      <c r="G283" s="149">
        <v>855</v>
      </c>
      <c r="H283" s="149">
        <v>18</v>
      </c>
      <c r="I283" s="149" t="s">
        <v>667</v>
      </c>
      <c r="J283" s="149" t="s">
        <v>211</v>
      </c>
      <c r="K283" s="161">
        <v>1</v>
      </c>
    </row>
    <row r="284" spans="1:11">
      <c r="A284" s="146">
        <v>277</v>
      </c>
      <c r="B284" s="147" t="s">
        <v>567</v>
      </c>
      <c r="C284" s="147" t="s">
        <v>223</v>
      </c>
      <c r="D284" s="148" t="s">
        <v>32</v>
      </c>
      <c r="E284" s="148" t="s">
        <v>115</v>
      </c>
      <c r="F284" s="149">
        <v>328</v>
      </c>
      <c r="G284" s="149">
        <v>298</v>
      </c>
      <c r="H284" s="149">
        <v>18</v>
      </c>
      <c r="I284" s="149" t="s">
        <v>670</v>
      </c>
      <c r="J284" s="149" t="s">
        <v>671</v>
      </c>
      <c r="K284" s="161">
        <v>1</v>
      </c>
    </row>
    <row r="285" spans="1:11">
      <c r="A285" s="146">
        <v>278</v>
      </c>
      <c r="B285" s="147" t="s">
        <v>568</v>
      </c>
      <c r="C285" s="147" t="s">
        <v>110</v>
      </c>
      <c r="D285" s="148" t="s">
        <v>32</v>
      </c>
      <c r="E285" s="148" t="s">
        <v>115</v>
      </c>
      <c r="F285" s="149">
        <v>328</v>
      </c>
      <c r="G285" s="149">
        <v>298</v>
      </c>
      <c r="H285" s="149">
        <v>18</v>
      </c>
      <c r="I285" s="149" t="s">
        <v>670</v>
      </c>
      <c r="J285" s="149" t="s">
        <v>671</v>
      </c>
      <c r="K285" s="161">
        <v>1</v>
      </c>
    </row>
    <row r="286" spans="1:11">
      <c r="A286" s="146">
        <v>279</v>
      </c>
      <c r="B286" s="147" t="s">
        <v>568</v>
      </c>
      <c r="C286" s="147" t="s">
        <v>516</v>
      </c>
      <c r="D286" s="148" t="s">
        <v>32</v>
      </c>
      <c r="E286" s="148" t="s">
        <v>115</v>
      </c>
      <c r="F286" s="149">
        <v>1373</v>
      </c>
      <c r="G286" s="149">
        <v>78</v>
      </c>
      <c r="H286" s="149">
        <v>18</v>
      </c>
      <c r="I286" s="149" t="s">
        <v>667</v>
      </c>
      <c r="J286" s="149" t="s">
        <v>211</v>
      </c>
      <c r="K286" s="161">
        <v>2</v>
      </c>
    </row>
    <row r="287" spans="1:11">
      <c r="A287" s="146">
        <v>280</v>
      </c>
      <c r="B287" s="147" t="s">
        <v>568</v>
      </c>
      <c r="C287" s="147" t="s">
        <v>117</v>
      </c>
      <c r="D287" s="148" t="s">
        <v>32</v>
      </c>
      <c r="E287" s="148" t="s">
        <v>115</v>
      </c>
      <c r="F287" s="149">
        <v>1373</v>
      </c>
      <c r="G287" s="149">
        <v>328</v>
      </c>
      <c r="H287" s="149">
        <v>18</v>
      </c>
      <c r="I287" s="149" t="s">
        <v>668</v>
      </c>
      <c r="J287" s="149" t="s">
        <v>669</v>
      </c>
      <c r="K287" s="161">
        <v>1</v>
      </c>
    </row>
    <row r="288" spans="1:11">
      <c r="A288" s="146">
        <v>281</v>
      </c>
      <c r="B288" s="147" t="s">
        <v>568</v>
      </c>
      <c r="C288" s="147" t="s">
        <v>121</v>
      </c>
      <c r="D288" s="148" t="s">
        <v>32</v>
      </c>
      <c r="E288" s="148" t="s">
        <v>115</v>
      </c>
      <c r="F288" s="149">
        <v>606</v>
      </c>
      <c r="G288" s="149">
        <v>218</v>
      </c>
      <c r="H288" s="149">
        <v>18</v>
      </c>
      <c r="I288" s="149" t="s">
        <v>667</v>
      </c>
      <c r="J288" s="149" t="s">
        <v>211</v>
      </c>
      <c r="K288" s="161">
        <v>1</v>
      </c>
    </row>
    <row r="289" spans="1:11">
      <c r="A289" s="146">
        <v>282</v>
      </c>
      <c r="B289" s="147" t="s">
        <v>568</v>
      </c>
      <c r="C289" s="147" t="s">
        <v>123</v>
      </c>
      <c r="D289" s="148" t="s">
        <v>32</v>
      </c>
      <c r="E289" s="148" t="s">
        <v>115</v>
      </c>
      <c r="F289" s="149">
        <v>606</v>
      </c>
      <c r="G289" s="149">
        <v>218</v>
      </c>
      <c r="H289" s="149">
        <v>18</v>
      </c>
      <c r="I289" s="149" t="s">
        <v>667</v>
      </c>
      <c r="J289" s="149" t="s">
        <v>211</v>
      </c>
      <c r="K289" s="161">
        <v>1</v>
      </c>
    </row>
    <row r="290" spans="1:11">
      <c r="A290" s="146">
        <v>283</v>
      </c>
      <c r="B290" s="147" t="s">
        <v>568</v>
      </c>
      <c r="C290" s="147" t="s">
        <v>124</v>
      </c>
      <c r="D290" s="148" t="s">
        <v>32</v>
      </c>
      <c r="E290" s="148" t="s">
        <v>115</v>
      </c>
      <c r="F290" s="149">
        <v>248</v>
      </c>
      <c r="G290" s="149">
        <v>218</v>
      </c>
      <c r="H290" s="149">
        <v>18</v>
      </c>
      <c r="I290" s="149" t="s">
        <v>667</v>
      </c>
      <c r="J290" s="149" t="s">
        <v>211</v>
      </c>
      <c r="K290" s="161">
        <v>2</v>
      </c>
    </row>
    <row r="291" spans="1:11">
      <c r="A291" s="146">
        <v>284</v>
      </c>
      <c r="B291" s="147" t="s">
        <v>568</v>
      </c>
      <c r="C291" s="147" t="s">
        <v>126</v>
      </c>
      <c r="D291" s="148" t="s">
        <v>32</v>
      </c>
      <c r="E291" s="148" t="s">
        <v>115</v>
      </c>
      <c r="F291" s="149">
        <v>248</v>
      </c>
      <c r="G291" s="149">
        <v>218</v>
      </c>
      <c r="H291" s="149">
        <v>18</v>
      </c>
      <c r="I291" s="149" t="s">
        <v>667</v>
      </c>
      <c r="J291" s="149" t="s">
        <v>211</v>
      </c>
      <c r="K291" s="161">
        <v>2</v>
      </c>
    </row>
    <row r="292" spans="1:11">
      <c r="A292" s="146">
        <v>285</v>
      </c>
      <c r="B292" s="147" t="s">
        <v>568</v>
      </c>
      <c r="C292" s="147" t="s">
        <v>221</v>
      </c>
      <c r="D292" s="148" t="s">
        <v>32</v>
      </c>
      <c r="E292" s="148" t="s">
        <v>115</v>
      </c>
      <c r="F292" s="149">
        <v>328</v>
      </c>
      <c r="G292" s="149">
        <v>262</v>
      </c>
      <c r="H292" s="149">
        <v>18</v>
      </c>
      <c r="I292" s="149" t="s">
        <v>670</v>
      </c>
      <c r="J292" s="149" t="s">
        <v>671</v>
      </c>
      <c r="K292" s="161">
        <v>1</v>
      </c>
    </row>
    <row r="293" spans="1:11">
      <c r="A293" s="146">
        <v>286</v>
      </c>
      <c r="B293" s="147" t="s">
        <v>568</v>
      </c>
      <c r="C293" s="147" t="s">
        <v>121</v>
      </c>
      <c r="D293" s="148" t="s">
        <v>32</v>
      </c>
      <c r="E293" s="148" t="s">
        <v>115</v>
      </c>
      <c r="F293" s="149">
        <v>623</v>
      </c>
      <c r="G293" s="149">
        <v>218</v>
      </c>
      <c r="H293" s="149">
        <v>18</v>
      </c>
      <c r="I293" s="149" t="s">
        <v>667</v>
      </c>
      <c r="J293" s="149" t="s">
        <v>211</v>
      </c>
      <c r="K293" s="161">
        <v>1</v>
      </c>
    </row>
    <row r="294" spans="1:11">
      <c r="A294" s="146">
        <v>287</v>
      </c>
      <c r="B294" s="147" t="s">
        <v>568</v>
      </c>
      <c r="C294" s="147" t="s">
        <v>123</v>
      </c>
      <c r="D294" s="148" t="s">
        <v>32</v>
      </c>
      <c r="E294" s="148" t="s">
        <v>115</v>
      </c>
      <c r="F294" s="149">
        <v>623</v>
      </c>
      <c r="G294" s="149">
        <v>218</v>
      </c>
      <c r="H294" s="149">
        <v>18</v>
      </c>
      <c r="I294" s="149" t="s">
        <v>667</v>
      </c>
      <c r="J294" s="149" t="s">
        <v>211</v>
      </c>
      <c r="K294" s="161">
        <v>1</v>
      </c>
    </row>
    <row r="295" spans="1:11">
      <c r="A295" s="150" t="s">
        <v>672</v>
      </c>
      <c r="B295" s="151"/>
      <c r="C295" s="151"/>
      <c r="D295" s="152"/>
      <c r="E295" s="152"/>
      <c r="F295" s="153"/>
      <c r="G295" s="153"/>
      <c r="H295" s="153"/>
      <c r="I295" s="153"/>
      <c r="J295" s="153"/>
      <c r="K295" s="162">
        <f>SUM(K15:K294)</f>
        <v>375</v>
      </c>
    </row>
    <row r="296" spans="1:11">
      <c r="A296" s="142">
        <v>288</v>
      </c>
      <c r="B296" s="143" t="s">
        <v>551</v>
      </c>
      <c r="C296" s="143" t="s">
        <v>110</v>
      </c>
      <c r="D296" s="144" t="s">
        <v>32</v>
      </c>
      <c r="E296" s="144" t="s">
        <v>111</v>
      </c>
      <c r="F296" s="145">
        <v>148</v>
      </c>
      <c r="G296" s="145">
        <v>2418</v>
      </c>
      <c r="H296" s="145">
        <v>18</v>
      </c>
      <c r="I296" s="145" t="s">
        <v>670</v>
      </c>
      <c r="J296" s="145" t="s">
        <v>671</v>
      </c>
      <c r="K296" s="160">
        <v>1</v>
      </c>
    </row>
    <row r="297" spans="1:11">
      <c r="A297" s="146">
        <v>289</v>
      </c>
      <c r="B297" s="147" t="s">
        <v>551</v>
      </c>
      <c r="C297" s="147" t="s">
        <v>110</v>
      </c>
      <c r="D297" s="148" t="s">
        <v>32</v>
      </c>
      <c r="E297" s="148" t="s">
        <v>111</v>
      </c>
      <c r="F297" s="149">
        <v>348</v>
      </c>
      <c r="G297" s="149">
        <v>430</v>
      </c>
      <c r="H297" s="149">
        <v>18</v>
      </c>
      <c r="I297" s="149" t="s">
        <v>670</v>
      </c>
      <c r="J297" s="149" t="s">
        <v>671</v>
      </c>
      <c r="K297" s="161">
        <v>1</v>
      </c>
    </row>
    <row r="298" spans="1:11">
      <c r="A298" s="146">
        <v>290</v>
      </c>
      <c r="B298" s="147" t="s">
        <v>551</v>
      </c>
      <c r="C298" s="147" t="s">
        <v>119</v>
      </c>
      <c r="D298" s="148" t="s">
        <v>32</v>
      </c>
      <c r="E298" s="148" t="s">
        <v>111</v>
      </c>
      <c r="F298" s="149">
        <v>735</v>
      </c>
      <c r="G298" s="149">
        <v>242</v>
      </c>
      <c r="H298" s="149">
        <v>18</v>
      </c>
      <c r="I298" s="149" t="s">
        <v>211</v>
      </c>
      <c r="J298" s="149" t="s">
        <v>667</v>
      </c>
      <c r="K298" s="161">
        <v>1</v>
      </c>
    </row>
    <row r="299" spans="1:11">
      <c r="A299" s="146">
        <v>291</v>
      </c>
      <c r="B299" s="147" t="s">
        <v>551</v>
      </c>
      <c r="C299" s="147" t="s">
        <v>139</v>
      </c>
      <c r="D299" s="148" t="s">
        <v>32</v>
      </c>
      <c r="E299" s="148" t="s">
        <v>111</v>
      </c>
      <c r="F299" s="149">
        <v>348</v>
      </c>
      <c r="G299" s="149">
        <v>308</v>
      </c>
      <c r="H299" s="149">
        <v>18</v>
      </c>
      <c r="I299" s="149" t="s">
        <v>670</v>
      </c>
      <c r="J299" s="149" t="s">
        <v>671</v>
      </c>
      <c r="K299" s="161">
        <v>1</v>
      </c>
    </row>
    <row r="300" spans="1:11">
      <c r="A300" s="146">
        <v>292</v>
      </c>
      <c r="B300" s="147" t="s">
        <v>551</v>
      </c>
      <c r="C300" s="147" t="s">
        <v>31</v>
      </c>
      <c r="D300" s="148" t="s">
        <v>32</v>
      </c>
      <c r="E300" s="148" t="s">
        <v>111</v>
      </c>
      <c r="F300" s="149">
        <v>295</v>
      </c>
      <c r="G300" s="149">
        <v>365</v>
      </c>
      <c r="H300" s="149">
        <v>18</v>
      </c>
      <c r="I300" s="149" t="s">
        <v>211</v>
      </c>
      <c r="J300" s="149" t="s">
        <v>667</v>
      </c>
      <c r="K300" s="161">
        <v>1</v>
      </c>
    </row>
    <row r="301" spans="1:11">
      <c r="A301" s="146">
        <v>293</v>
      </c>
      <c r="B301" s="147" t="s">
        <v>551</v>
      </c>
      <c r="C301" s="147" t="s">
        <v>35</v>
      </c>
      <c r="D301" s="148" t="s">
        <v>32</v>
      </c>
      <c r="E301" s="148" t="s">
        <v>111</v>
      </c>
      <c r="F301" s="149">
        <v>295</v>
      </c>
      <c r="G301" s="149">
        <v>365</v>
      </c>
      <c r="H301" s="149">
        <v>18</v>
      </c>
      <c r="I301" s="149" t="s">
        <v>211</v>
      </c>
      <c r="J301" s="149" t="s">
        <v>667</v>
      </c>
      <c r="K301" s="161">
        <v>1</v>
      </c>
    </row>
    <row r="302" spans="1:11">
      <c r="A302" s="146">
        <v>294</v>
      </c>
      <c r="B302" s="147" t="s">
        <v>30</v>
      </c>
      <c r="C302" s="147" t="s">
        <v>31</v>
      </c>
      <c r="D302" s="148" t="s">
        <v>32</v>
      </c>
      <c r="E302" s="148" t="s">
        <v>111</v>
      </c>
      <c r="F302" s="149">
        <v>855</v>
      </c>
      <c r="G302" s="149">
        <v>395</v>
      </c>
      <c r="H302" s="149">
        <v>18</v>
      </c>
      <c r="I302" s="149" t="s">
        <v>211</v>
      </c>
      <c r="J302" s="149" t="s">
        <v>667</v>
      </c>
      <c r="K302" s="161">
        <v>1</v>
      </c>
    </row>
    <row r="303" spans="1:11">
      <c r="A303" s="146">
        <v>295</v>
      </c>
      <c r="B303" s="147" t="s">
        <v>30</v>
      </c>
      <c r="C303" s="147" t="s">
        <v>35</v>
      </c>
      <c r="D303" s="148" t="s">
        <v>32</v>
      </c>
      <c r="E303" s="148" t="s">
        <v>111</v>
      </c>
      <c r="F303" s="149">
        <v>855</v>
      </c>
      <c r="G303" s="149">
        <v>395</v>
      </c>
      <c r="H303" s="149">
        <v>18</v>
      </c>
      <c r="I303" s="149" t="s">
        <v>211</v>
      </c>
      <c r="J303" s="149" t="s">
        <v>667</v>
      </c>
      <c r="K303" s="161">
        <v>2</v>
      </c>
    </row>
    <row r="304" spans="1:11">
      <c r="A304" s="146">
        <v>296</v>
      </c>
      <c r="B304" s="147" t="s">
        <v>30</v>
      </c>
      <c r="C304" s="147" t="s">
        <v>31</v>
      </c>
      <c r="D304" s="148" t="s">
        <v>32</v>
      </c>
      <c r="E304" s="148" t="s">
        <v>111</v>
      </c>
      <c r="F304" s="149">
        <v>842</v>
      </c>
      <c r="G304" s="149">
        <v>395</v>
      </c>
      <c r="H304" s="149">
        <v>18</v>
      </c>
      <c r="I304" s="149" t="s">
        <v>211</v>
      </c>
      <c r="J304" s="149" t="s">
        <v>667</v>
      </c>
      <c r="K304" s="161">
        <v>2</v>
      </c>
    </row>
    <row r="305" spans="1:11">
      <c r="A305" s="146">
        <v>297</v>
      </c>
      <c r="B305" s="147" t="s">
        <v>30</v>
      </c>
      <c r="C305" s="147" t="s">
        <v>35</v>
      </c>
      <c r="D305" s="148" t="s">
        <v>32</v>
      </c>
      <c r="E305" s="148" t="s">
        <v>111</v>
      </c>
      <c r="F305" s="149">
        <v>842</v>
      </c>
      <c r="G305" s="149">
        <v>395</v>
      </c>
      <c r="H305" s="149">
        <v>18</v>
      </c>
      <c r="I305" s="149" t="s">
        <v>211</v>
      </c>
      <c r="J305" s="149" t="s">
        <v>667</v>
      </c>
      <c r="K305" s="161">
        <v>3</v>
      </c>
    </row>
    <row r="306" spans="1:11">
      <c r="A306" s="146">
        <v>298</v>
      </c>
      <c r="B306" s="147" t="s">
        <v>552</v>
      </c>
      <c r="C306" s="147" t="s">
        <v>213</v>
      </c>
      <c r="D306" s="148" t="s">
        <v>32</v>
      </c>
      <c r="E306" s="148" t="s">
        <v>111</v>
      </c>
      <c r="F306" s="149">
        <v>2303</v>
      </c>
      <c r="G306" s="149">
        <v>1151.7</v>
      </c>
      <c r="H306" s="149">
        <v>18</v>
      </c>
      <c r="I306" s="149" t="s">
        <v>667</v>
      </c>
      <c r="J306" s="149" t="s">
        <v>211</v>
      </c>
      <c r="K306" s="161">
        <v>1</v>
      </c>
    </row>
    <row r="307" spans="1:11">
      <c r="A307" s="146">
        <v>299</v>
      </c>
      <c r="B307" s="147" t="s">
        <v>553</v>
      </c>
      <c r="C307" s="147" t="s">
        <v>31</v>
      </c>
      <c r="D307" s="148" t="s">
        <v>32</v>
      </c>
      <c r="E307" s="148" t="s">
        <v>111</v>
      </c>
      <c r="F307" s="149">
        <v>440</v>
      </c>
      <c r="G307" s="149">
        <v>455</v>
      </c>
      <c r="H307" s="149">
        <v>18</v>
      </c>
      <c r="I307" s="149" t="s">
        <v>211</v>
      </c>
      <c r="J307" s="149" t="s">
        <v>667</v>
      </c>
      <c r="K307" s="161">
        <v>1</v>
      </c>
    </row>
    <row r="308" spans="1:11">
      <c r="A308" s="146">
        <v>300</v>
      </c>
      <c r="B308" s="147" t="s">
        <v>553</v>
      </c>
      <c r="C308" s="147" t="s">
        <v>35</v>
      </c>
      <c r="D308" s="148" t="s">
        <v>32</v>
      </c>
      <c r="E308" s="148" t="s">
        <v>111</v>
      </c>
      <c r="F308" s="149">
        <v>440</v>
      </c>
      <c r="G308" s="149">
        <v>455</v>
      </c>
      <c r="H308" s="149">
        <v>18</v>
      </c>
      <c r="I308" s="149" t="s">
        <v>211</v>
      </c>
      <c r="J308" s="149" t="s">
        <v>667</v>
      </c>
      <c r="K308" s="161">
        <v>1</v>
      </c>
    </row>
    <row r="309" spans="1:11">
      <c r="A309" s="146">
        <v>301</v>
      </c>
      <c r="B309" s="147" t="s">
        <v>554</v>
      </c>
      <c r="C309" s="147" t="s">
        <v>131</v>
      </c>
      <c r="D309" s="148" t="s">
        <v>32</v>
      </c>
      <c r="E309" s="148" t="s">
        <v>111</v>
      </c>
      <c r="F309" s="149">
        <v>106</v>
      </c>
      <c r="G309" s="149">
        <v>695</v>
      </c>
      <c r="H309" s="149">
        <v>18</v>
      </c>
      <c r="I309" s="149" t="s">
        <v>667</v>
      </c>
      <c r="J309" s="149" t="s">
        <v>211</v>
      </c>
      <c r="K309" s="161">
        <v>1</v>
      </c>
    </row>
    <row r="310" spans="1:11">
      <c r="A310" s="146">
        <v>302</v>
      </c>
      <c r="B310" s="147" t="s">
        <v>554</v>
      </c>
      <c r="C310" s="147" t="s">
        <v>244</v>
      </c>
      <c r="D310" s="148" t="s">
        <v>32</v>
      </c>
      <c r="E310" s="148" t="s">
        <v>111</v>
      </c>
      <c r="F310" s="149">
        <v>448</v>
      </c>
      <c r="G310" s="149">
        <v>48</v>
      </c>
      <c r="H310" s="149">
        <v>18</v>
      </c>
      <c r="I310" s="149" t="s">
        <v>667</v>
      </c>
      <c r="J310" s="149" t="s">
        <v>211</v>
      </c>
      <c r="K310" s="161">
        <v>2</v>
      </c>
    </row>
    <row r="311" spans="1:11">
      <c r="A311" s="146">
        <v>303</v>
      </c>
      <c r="B311" s="147" t="s">
        <v>554</v>
      </c>
      <c r="C311" s="147" t="s">
        <v>31</v>
      </c>
      <c r="D311" s="148" t="s">
        <v>32</v>
      </c>
      <c r="E311" s="148" t="s">
        <v>111</v>
      </c>
      <c r="F311" s="149">
        <v>1040</v>
      </c>
      <c r="G311" s="149">
        <v>343.5</v>
      </c>
      <c r="H311" s="149">
        <v>18</v>
      </c>
      <c r="I311" s="149" t="s">
        <v>211</v>
      </c>
      <c r="J311" s="149" t="s">
        <v>667</v>
      </c>
      <c r="K311" s="161">
        <v>1</v>
      </c>
    </row>
    <row r="312" spans="1:11">
      <c r="A312" s="146">
        <v>304</v>
      </c>
      <c r="B312" s="147" t="s">
        <v>554</v>
      </c>
      <c r="C312" s="147" t="s">
        <v>35</v>
      </c>
      <c r="D312" s="148" t="s">
        <v>32</v>
      </c>
      <c r="E312" s="148" t="s">
        <v>111</v>
      </c>
      <c r="F312" s="149">
        <v>1040</v>
      </c>
      <c r="G312" s="149">
        <v>343.5</v>
      </c>
      <c r="H312" s="149">
        <v>18</v>
      </c>
      <c r="I312" s="149" t="s">
        <v>211</v>
      </c>
      <c r="J312" s="149" t="s">
        <v>667</v>
      </c>
      <c r="K312" s="161">
        <v>1</v>
      </c>
    </row>
    <row r="313" spans="1:11">
      <c r="A313" s="146">
        <v>305</v>
      </c>
      <c r="B313" s="147" t="s">
        <v>554</v>
      </c>
      <c r="C313" s="147" t="s">
        <v>31</v>
      </c>
      <c r="D313" s="148" t="s">
        <v>32</v>
      </c>
      <c r="E313" s="148" t="s">
        <v>111</v>
      </c>
      <c r="F313" s="149">
        <v>685</v>
      </c>
      <c r="G313" s="149">
        <v>343.5</v>
      </c>
      <c r="H313" s="149">
        <v>18</v>
      </c>
      <c r="I313" s="149" t="s">
        <v>211</v>
      </c>
      <c r="J313" s="149" t="s">
        <v>667</v>
      </c>
      <c r="K313" s="161">
        <v>1</v>
      </c>
    </row>
    <row r="314" spans="1:11">
      <c r="A314" s="146">
        <v>306</v>
      </c>
      <c r="B314" s="147" t="s">
        <v>554</v>
      </c>
      <c r="C314" s="147" t="s">
        <v>35</v>
      </c>
      <c r="D314" s="148" t="s">
        <v>32</v>
      </c>
      <c r="E314" s="148" t="s">
        <v>111</v>
      </c>
      <c r="F314" s="149">
        <v>685</v>
      </c>
      <c r="G314" s="149">
        <v>343.5</v>
      </c>
      <c r="H314" s="149">
        <v>18</v>
      </c>
      <c r="I314" s="149" t="s">
        <v>211</v>
      </c>
      <c r="J314" s="149" t="s">
        <v>667</v>
      </c>
      <c r="K314" s="161">
        <v>1</v>
      </c>
    </row>
    <row r="315" spans="1:11">
      <c r="A315" s="146">
        <v>307</v>
      </c>
      <c r="B315" s="147" t="s">
        <v>555</v>
      </c>
      <c r="C315" s="147" t="s">
        <v>131</v>
      </c>
      <c r="D315" s="148" t="s">
        <v>32</v>
      </c>
      <c r="E315" s="148" t="s">
        <v>111</v>
      </c>
      <c r="F315" s="149">
        <v>858</v>
      </c>
      <c r="G315" s="149">
        <v>48</v>
      </c>
      <c r="H315" s="149">
        <v>18</v>
      </c>
      <c r="I315" s="149" t="s">
        <v>667</v>
      </c>
      <c r="J315" s="149" t="s">
        <v>211</v>
      </c>
      <c r="K315" s="161">
        <v>2</v>
      </c>
    </row>
    <row r="316" spans="1:11">
      <c r="A316" s="146">
        <v>308</v>
      </c>
      <c r="B316" s="147" t="s">
        <v>555</v>
      </c>
      <c r="C316" s="147" t="s">
        <v>265</v>
      </c>
      <c r="D316" s="148" t="s">
        <v>32</v>
      </c>
      <c r="E316" s="148" t="s">
        <v>111</v>
      </c>
      <c r="F316" s="149">
        <v>743</v>
      </c>
      <c r="G316" s="149">
        <v>332</v>
      </c>
      <c r="H316" s="149">
        <v>18</v>
      </c>
      <c r="I316" s="149" t="s">
        <v>211</v>
      </c>
      <c r="J316" s="149" t="s">
        <v>667</v>
      </c>
      <c r="K316" s="161">
        <v>1</v>
      </c>
    </row>
    <row r="317" spans="1:11">
      <c r="A317" s="146">
        <v>309</v>
      </c>
      <c r="B317" s="147" t="s">
        <v>556</v>
      </c>
      <c r="C317" s="147" t="s">
        <v>110</v>
      </c>
      <c r="D317" s="148" t="s">
        <v>32</v>
      </c>
      <c r="E317" s="148" t="s">
        <v>111</v>
      </c>
      <c r="F317" s="149">
        <v>598</v>
      </c>
      <c r="G317" s="149">
        <v>2323</v>
      </c>
      <c r="H317" s="149">
        <v>18</v>
      </c>
      <c r="I317" s="149" t="s">
        <v>670</v>
      </c>
      <c r="J317" s="149" t="s">
        <v>671</v>
      </c>
      <c r="K317" s="161">
        <v>1</v>
      </c>
    </row>
    <row r="318" spans="1:11">
      <c r="A318" s="146">
        <v>310</v>
      </c>
      <c r="B318" s="147" t="s">
        <v>556</v>
      </c>
      <c r="C318" s="147" t="s">
        <v>131</v>
      </c>
      <c r="D318" s="148" t="s">
        <v>32</v>
      </c>
      <c r="E318" s="148" t="s">
        <v>111</v>
      </c>
      <c r="F318" s="149">
        <v>56</v>
      </c>
      <c r="G318" s="149">
        <v>802</v>
      </c>
      <c r="H318" s="149">
        <v>18</v>
      </c>
      <c r="I318" s="149" t="s">
        <v>667</v>
      </c>
      <c r="J318" s="149" t="s">
        <v>211</v>
      </c>
      <c r="K318" s="161">
        <v>1</v>
      </c>
    </row>
    <row r="319" spans="1:11">
      <c r="A319" s="146">
        <v>311</v>
      </c>
      <c r="B319" s="147" t="s">
        <v>556</v>
      </c>
      <c r="C319" s="147" t="s">
        <v>223</v>
      </c>
      <c r="D319" s="148" t="s">
        <v>32</v>
      </c>
      <c r="E319" s="148" t="s">
        <v>111</v>
      </c>
      <c r="F319" s="149">
        <v>48</v>
      </c>
      <c r="G319" s="149">
        <v>2323</v>
      </c>
      <c r="H319" s="149">
        <v>18</v>
      </c>
      <c r="I319" s="149" t="s">
        <v>670</v>
      </c>
      <c r="J319" s="149" t="s">
        <v>671</v>
      </c>
      <c r="K319" s="161">
        <v>1</v>
      </c>
    </row>
    <row r="320" spans="1:11">
      <c r="A320" s="146">
        <v>312</v>
      </c>
      <c r="B320" s="147" t="s">
        <v>556</v>
      </c>
      <c r="C320" s="147" t="s">
        <v>110</v>
      </c>
      <c r="D320" s="148" t="s">
        <v>32</v>
      </c>
      <c r="E320" s="148" t="s">
        <v>111</v>
      </c>
      <c r="F320" s="149">
        <v>598</v>
      </c>
      <c r="G320" s="149">
        <v>148</v>
      </c>
      <c r="H320" s="149">
        <v>18</v>
      </c>
      <c r="I320" s="149" t="s">
        <v>670</v>
      </c>
      <c r="J320" s="149" t="s">
        <v>671</v>
      </c>
      <c r="K320" s="161">
        <v>1</v>
      </c>
    </row>
    <row r="321" spans="1:11">
      <c r="A321" s="146">
        <v>313</v>
      </c>
      <c r="B321" s="147" t="s">
        <v>556</v>
      </c>
      <c r="C321" s="147" t="s">
        <v>145</v>
      </c>
      <c r="D321" s="148" t="s">
        <v>32</v>
      </c>
      <c r="E321" s="148" t="s">
        <v>111</v>
      </c>
      <c r="F321" s="149">
        <v>820</v>
      </c>
      <c r="G321" s="149">
        <v>148</v>
      </c>
      <c r="H321" s="149">
        <v>18</v>
      </c>
      <c r="I321" s="149" t="s">
        <v>667</v>
      </c>
      <c r="J321" s="149" t="s">
        <v>211</v>
      </c>
      <c r="K321" s="161">
        <v>1</v>
      </c>
    </row>
    <row r="322" spans="1:11">
      <c r="A322" s="146">
        <v>314</v>
      </c>
      <c r="B322" s="147" t="s">
        <v>556</v>
      </c>
      <c r="C322" s="147" t="s">
        <v>31</v>
      </c>
      <c r="D322" s="148" t="s">
        <v>32</v>
      </c>
      <c r="E322" s="148" t="s">
        <v>111</v>
      </c>
      <c r="F322" s="149">
        <v>595</v>
      </c>
      <c r="G322" s="149">
        <v>397</v>
      </c>
      <c r="H322" s="149">
        <v>18</v>
      </c>
      <c r="I322" s="149" t="s">
        <v>211</v>
      </c>
      <c r="J322" s="149" t="s">
        <v>667</v>
      </c>
      <c r="K322" s="161">
        <v>1</v>
      </c>
    </row>
    <row r="323" spans="1:11">
      <c r="A323" s="146">
        <v>315</v>
      </c>
      <c r="B323" s="147" t="s">
        <v>556</v>
      </c>
      <c r="C323" s="147" t="s">
        <v>35</v>
      </c>
      <c r="D323" s="148" t="s">
        <v>32</v>
      </c>
      <c r="E323" s="148" t="s">
        <v>111</v>
      </c>
      <c r="F323" s="149">
        <v>595</v>
      </c>
      <c r="G323" s="149">
        <v>397</v>
      </c>
      <c r="H323" s="149">
        <v>18</v>
      </c>
      <c r="I323" s="149" t="s">
        <v>211</v>
      </c>
      <c r="J323" s="149" t="s">
        <v>667</v>
      </c>
      <c r="K323" s="161">
        <v>1</v>
      </c>
    </row>
    <row r="324" spans="1:11">
      <c r="A324" s="146">
        <v>316</v>
      </c>
      <c r="B324" s="147" t="s">
        <v>556</v>
      </c>
      <c r="C324" s="147" t="s">
        <v>31</v>
      </c>
      <c r="D324" s="148" t="s">
        <v>32</v>
      </c>
      <c r="E324" s="148" t="s">
        <v>111</v>
      </c>
      <c r="F324" s="149">
        <v>1660</v>
      </c>
      <c r="G324" s="149">
        <v>397</v>
      </c>
      <c r="H324" s="149">
        <v>18</v>
      </c>
      <c r="I324" s="149" t="s">
        <v>211</v>
      </c>
      <c r="J324" s="149" t="s">
        <v>667</v>
      </c>
      <c r="K324" s="161">
        <v>1</v>
      </c>
    </row>
    <row r="325" spans="1:11">
      <c r="A325" s="146">
        <v>317</v>
      </c>
      <c r="B325" s="147" t="s">
        <v>556</v>
      </c>
      <c r="C325" s="147" t="s">
        <v>35</v>
      </c>
      <c r="D325" s="148" t="s">
        <v>32</v>
      </c>
      <c r="E325" s="148" t="s">
        <v>111</v>
      </c>
      <c r="F325" s="149">
        <v>1660</v>
      </c>
      <c r="G325" s="149">
        <v>397</v>
      </c>
      <c r="H325" s="149">
        <v>18</v>
      </c>
      <c r="I325" s="149" t="s">
        <v>211</v>
      </c>
      <c r="J325" s="149" t="s">
        <v>667</v>
      </c>
      <c r="K325" s="161">
        <v>1</v>
      </c>
    </row>
    <row r="326" spans="1:11">
      <c r="A326" s="146">
        <v>318</v>
      </c>
      <c r="B326" s="147" t="s">
        <v>557</v>
      </c>
      <c r="C326" s="147" t="s">
        <v>131</v>
      </c>
      <c r="D326" s="148" t="s">
        <v>32</v>
      </c>
      <c r="E326" s="148" t="s">
        <v>111</v>
      </c>
      <c r="F326" s="149">
        <v>178</v>
      </c>
      <c r="G326" s="149">
        <v>48</v>
      </c>
      <c r="H326" s="149">
        <v>18</v>
      </c>
      <c r="I326" s="149" t="s">
        <v>667</v>
      </c>
      <c r="J326" s="149" t="s">
        <v>211</v>
      </c>
      <c r="K326" s="161">
        <v>1</v>
      </c>
    </row>
    <row r="327" spans="1:11">
      <c r="A327" s="146">
        <v>319</v>
      </c>
      <c r="B327" s="147" t="s">
        <v>557</v>
      </c>
      <c r="C327" s="147" t="s">
        <v>119</v>
      </c>
      <c r="D327" s="148" t="s">
        <v>32</v>
      </c>
      <c r="E327" s="148" t="s">
        <v>111</v>
      </c>
      <c r="F327" s="149">
        <v>462</v>
      </c>
      <c r="G327" s="149">
        <v>175</v>
      </c>
      <c r="H327" s="149">
        <v>18</v>
      </c>
      <c r="I327" s="149" t="s">
        <v>211</v>
      </c>
      <c r="J327" s="149" t="s">
        <v>667</v>
      </c>
      <c r="K327" s="161">
        <v>1</v>
      </c>
    </row>
    <row r="328" spans="1:11">
      <c r="A328" s="146">
        <v>320</v>
      </c>
      <c r="B328" s="147" t="s">
        <v>557</v>
      </c>
      <c r="C328" s="147" t="s">
        <v>119</v>
      </c>
      <c r="D328" s="148" t="s">
        <v>32</v>
      </c>
      <c r="E328" s="148" t="s">
        <v>111</v>
      </c>
      <c r="F328" s="149">
        <v>463</v>
      </c>
      <c r="G328" s="149">
        <v>175</v>
      </c>
      <c r="H328" s="149">
        <v>18</v>
      </c>
      <c r="I328" s="149" t="s">
        <v>211</v>
      </c>
      <c r="J328" s="149" t="s">
        <v>667</v>
      </c>
      <c r="K328" s="161">
        <v>1</v>
      </c>
    </row>
    <row r="329" spans="1:11">
      <c r="A329" s="146">
        <v>321</v>
      </c>
      <c r="B329" s="147" t="s">
        <v>557</v>
      </c>
      <c r="C329" s="147" t="s">
        <v>131</v>
      </c>
      <c r="D329" s="148" t="s">
        <v>32</v>
      </c>
      <c r="E329" s="148" t="s">
        <v>111</v>
      </c>
      <c r="F329" s="149">
        <v>178</v>
      </c>
      <c r="G329" s="149">
        <v>648</v>
      </c>
      <c r="H329" s="149">
        <v>18</v>
      </c>
      <c r="I329" s="149" t="s">
        <v>667</v>
      </c>
      <c r="J329" s="149" t="s">
        <v>211</v>
      </c>
      <c r="K329" s="161">
        <v>1</v>
      </c>
    </row>
    <row r="330" spans="1:11">
      <c r="A330" s="146">
        <v>322</v>
      </c>
      <c r="B330" s="147" t="s">
        <v>38</v>
      </c>
      <c r="C330" s="147" t="s">
        <v>110</v>
      </c>
      <c r="D330" s="148" t="s">
        <v>32</v>
      </c>
      <c r="E330" s="148" t="s">
        <v>111</v>
      </c>
      <c r="F330" s="149">
        <v>598</v>
      </c>
      <c r="G330" s="149">
        <v>2160</v>
      </c>
      <c r="H330" s="149">
        <v>18</v>
      </c>
      <c r="I330" s="149" t="s">
        <v>670</v>
      </c>
      <c r="J330" s="149" t="s">
        <v>671</v>
      </c>
      <c r="K330" s="161">
        <v>1</v>
      </c>
    </row>
    <row r="331" spans="1:11">
      <c r="A331" s="146">
        <v>323</v>
      </c>
      <c r="B331" s="147" t="s">
        <v>38</v>
      </c>
      <c r="C331" s="147" t="s">
        <v>119</v>
      </c>
      <c r="D331" s="148" t="s">
        <v>32</v>
      </c>
      <c r="E331" s="148" t="s">
        <v>111</v>
      </c>
      <c r="F331" s="149">
        <v>419</v>
      </c>
      <c r="G331" s="149">
        <v>377</v>
      </c>
      <c r="H331" s="149">
        <v>18</v>
      </c>
      <c r="I331" s="149" t="s">
        <v>211</v>
      </c>
      <c r="J331" s="149" t="s">
        <v>667</v>
      </c>
      <c r="K331" s="161">
        <v>1</v>
      </c>
    </row>
    <row r="332" spans="1:11">
      <c r="A332" s="146">
        <v>324</v>
      </c>
      <c r="B332" s="147" t="s">
        <v>38</v>
      </c>
      <c r="C332" s="147" t="s">
        <v>119</v>
      </c>
      <c r="D332" s="148" t="s">
        <v>32</v>
      </c>
      <c r="E332" s="148" t="s">
        <v>111</v>
      </c>
      <c r="F332" s="149">
        <v>419</v>
      </c>
      <c r="G332" s="149">
        <v>175</v>
      </c>
      <c r="H332" s="149">
        <v>18</v>
      </c>
      <c r="I332" s="149" t="s">
        <v>211</v>
      </c>
      <c r="J332" s="149" t="s">
        <v>667</v>
      </c>
      <c r="K332" s="161">
        <v>2</v>
      </c>
    </row>
    <row r="333" spans="1:11">
      <c r="A333" s="146">
        <v>325</v>
      </c>
      <c r="B333" s="147" t="s">
        <v>558</v>
      </c>
      <c r="C333" s="147" t="s">
        <v>31</v>
      </c>
      <c r="D333" s="148" t="s">
        <v>32</v>
      </c>
      <c r="E333" s="148" t="s">
        <v>111</v>
      </c>
      <c r="F333" s="149">
        <v>1663</v>
      </c>
      <c r="G333" s="149">
        <v>419</v>
      </c>
      <c r="H333" s="149">
        <v>18</v>
      </c>
      <c r="I333" s="149" t="s">
        <v>211</v>
      </c>
      <c r="J333" s="149" t="s">
        <v>667</v>
      </c>
      <c r="K333" s="161">
        <v>2</v>
      </c>
    </row>
    <row r="334" spans="1:11">
      <c r="A334" s="146">
        <v>326</v>
      </c>
      <c r="B334" s="147" t="s">
        <v>558</v>
      </c>
      <c r="C334" s="147" t="s">
        <v>35</v>
      </c>
      <c r="D334" s="148" t="s">
        <v>32</v>
      </c>
      <c r="E334" s="148" t="s">
        <v>111</v>
      </c>
      <c r="F334" s="149">
        <v>1663</v>
      </c>
      <c r="G334" s="149">
        <v>419</v>
      </c>
      <c r="H334" s="149">
        <v>18</v>
      </c>
      <c r="I334" s="149" t="s">
        <v>211</v>
      </c>
      <c r="J334" s="149" t="s">
        <v>667</v>
      </c>
      <c r="K334" s="161">
        <v>1</v>
      </c>
    </row>
    <row r="335" spans="1:11">
      <c r="A335" s="146">
        <v>327</v>
      </c>
      <c r="B335" s="147" t="s">
        <v>558</v>
      </c>
      <c r="C335" s="147" t="s">
        <v>31</v>
      </c>
      <c r="D335" s="148" t="s">
        <v>32</v>
      </c>
      <c r="E335" s="148" t="s">
        <v>111</v>
      </c>
      <c r="F335" s="149">
        <v>737</v>
      </c>
      <c r="G335" s="149">
        <v>419</v>
      </c>
      <c r="H335" s="149">
        <v>18</v>
      </c>
      <c r="I335" s="149" t="s">
        <v>211</v>
      </c>
      <c r="J335" s="149" t="s">
        <v>667</v>
      </c>
      <c r="K335" s="161">
        <v>2</v>
      </c>
    </row>
    <row r="336" spans="1:11">
      <c r="A336" s="146">
        <v>328</v>
      </c>
      <c r="B336" s="147" t="s">
        <v>558</v>
      </c>
      <c r="C336" s="147" t="s">
        <v>35</v>
      </c>
      <c r="D336" s="148" t="s">
        <v>32</v>
      </c>
      <c r="E336" s="148" t="s">
        <v>111</v>
      </c>
      <c r="F336" s="149">
        <v>737</v>
      </c>
      <c r="G336" s="149">
        <v>419</v>
      </c>
      <c r="H336" s="149">
        <v>18</v>
      </c>
      <c r="I336" s="149" t="s">
        <v>211</v>
      </c>
      <c r="J336" s="149" t="s">
        <v>667</v>
      </c>
      <c r="K336" s="161">
        <v>1</v>
      </c>
    </row>
    <row r="337" spans="1:11">
      <c r="A337" s="146">
        <v>329</v>
      </c>
      <c r="B337" s="147" t="s">
        <v>559</v>
      </c>
      <c r="C337" s="147" t="s">
        <v>131</v>
      </c>
      <c r="D337" s="148" t="s">
        <v>32</v>
      </c>
      <c r="E337" s="148" t="s">
        <v>111</v>
      </c>
      <c r="F337" s="149">
        <v>760</v>
      </c>
      <c r="G337" s="149">
        <v>98</v>
      </c>
      <c r="H337" s="149">
        <v>18</v>
      </c>
      <c r="I337" s="149" t="s">
        <v>667</v>
      </c>
      <c r="J337" s="149" t="s">
        <v>211</v>
      </c>
      <c r="K337" s="161">
        <v>1</v>
      </c>
    </row>
    <row r="338" spans="1:11">
      <c r="A338" s="146">
        <v>330</v>
      </c>
      <c r="B338" s="147" t="s">
        <v>559</v>
      </c>
      <c r="C338" s="147" t="s">
        <v>131</v>
      </c>
      <c r="D338" s="148" t="s">
        <v>32</v>
      </c>
      <c r="E338" s="148" t="s">
        <v>111</v>
      </c>
      <c r="F338" s="149">
        <v>1676</v>
      </c>
      <c r="G338" s="149">
        <v>98</v>
      </c>
      <c r="H338" s="149">
        <v>18</v>
      </c>
      <c r="I338" s="149" t="s">
        <v>667</v>
      </c>
      <c r="J338" s="149" t="s">
        <v>211</v>
      </c>
      <c r="K338" s="161">
        <v>1</v>
      </c>
    </row>
    <row r="339" spans="1:11">
      <c r="A339" s="146">
        <v>331</v>
      </c>
      <c r="B339" s="147" t="s">
        <v>559</v>
      </c>
      <c r="C339" s="147" t="s">
        <v>35</v>
      </c>
      <c r="D339" s="148" t="s">
        <v>32</v>
      </c>
      <c r="E339" s="148" t="s">
        <v>111</v>
      </c>
      <c r="F339" s="149">
        <v>1663</v>
      </c>
      <c r="G339" s="149">
        <v>419</v>
      </c>
      <c r="H339" s="149">
        <v>18</v>
      </c>
      <c r="I339" s="149" t="s">
        <v>211</v>
      </c>
      <c r="J339" s="149" t="s">
        <v>667</v>
      </c>
      <c r="K339" s="161">
        <v>1</v>
      </c>
    </row>
    <row r="340" spans="1:11">
      <c r="A340" s="146">
        <v>332</v>
      </c>
      <c r="B340" s="147" t="s">
        <v>559</v>
      </c>
      <c r="C340" s="147" t="s">
        <v>35</v>
      </c>
      <c r="D340" s="148" t="s">
        <v>32</v>
      </c>
      <c r="E340" s="148" t="s">
        <v>111</v>
      </c>
      <c r="F340" s="149">
        <v>737</v>
      </c>
      <c r="G340" s="149">
        <v>419</v>
      </c>
      <c r="H340" s="149">
        <v>18</v>
      </c>
      <c r="I340" s="149" t="s">
        <v>211</v>
      </c>
      <c r="J340" s="149" t="s">
        <v>667</v>
      </c>
      <c r="K340" s="161">
        <v>1</v>
      </c>
    </row>
    <row r="341" spans="1:11">
      <c r="A341" s="146">
        <v>333</v>
      </c>
      <c r="B341" s="147" t="s">
        <v>560</v>
      </c>
      <c r="C341" s="147" t="s">
        <v>361</v>
      </c>
      <c r="D341" s="148" t="s">
        <v>32</v>
      </c>
      <c r="E341" s="148" t="s">
        <v>111</v>
      </c>
      <c r="F341" s="149">
        <v>118</v>
      </c>
      <c r="G341" s="149">
        <v>288</v>
      </c>
      <c r="H341" s="149">
        <v>18</v>
      </c>
      <c r="I341" s="149" t="s">
        <v>211</v>
      </c>
      <c r="J341" s="149" t="s">
        <v>667</v>
      </c>
      <c r="K341" s="161">
        <v>1</v>
      </c>
    </row>
    <row r="342" spans="1:11">
      <c r="A342" s="146">
        <v>334</v>
      </c>
      <c r="B342" s="147" t="s">
        <v>560</v>
      </c>
      <c r="C342" s="147" t="s">
        <v>361</v>
      </c>
      <c r="D342" s="148" t="s">
        <v>32</v>
      </c>
      <c r="E342" s="148" t="s">
        <v>111</v>
      </c>
      <c r="F342" s="149">
        <v>98</v>
      </c>
      <c r="G342" s="149">
        <v>2398</v>
      </c>
      <c r="H342" s="149">
        <v>18</v>
      </c>
      <c r="I342" s="149" t="s">
        <v>211</v>
      </c>
      <c r="J342" s="149" t="s">
        <v>667</v>
      </c>
      <c r="K342" s="161">
        <v>1</v>
      </c>
    </row>
    <row r="343" spans="1:11">
      <c r="A343" s="146">
        <v>335</v>
      </c>
      <c r="B343" s="147" t="s">
        <v>40</v>
      </c>
      <c r="C343" s="147" t="s">
        <v>131</v>
      </c>
      <c r="D343" s="148" t="s">
        <v>32</v>
      </c>
      <c r="E343" s="148" t="s">
        <v>111</v>
      </c>
      <c r="F343" s="149">
        <v>2438</v>
      </c>
      <c r="G343" s="149">
        <v>48</v>
      </c>
      <c r="H343" s="149">
        <v>18</v>
      </c>
      <c r="I343" s="149" t="s">
        <v>667</v>
      </c>
      <c r="J343" s="149" t="s">
        <v>211</v>
      </c>
      <c r="K343" s="161">
        <v>1</v>
      </c>
    </row>
    <row r="344" spans="1:11">
      <c r="A344" s="146">
        <v>336</v>
      </c>
      <c r="B344" s="147" t="s">
        <v>40</v>
      </c>
      <c r="C344" s="147" t="s">
        <v>31</v>
      </c>
      <c r="D344" s="148" t="s">
        <v>32</v>
      </c>
      <c r="E344" s="148" t="s">
        <v>111</v>
      </c>
      <c r="F344" s="149">
        <v>1663</v>
      </c>
      <c r="G344" s="149">
        <v>470</v>
      </c>
      <c r="H344" s="149">
        <v>18</v>
      </c>
      <c r="I344" s="149" t="s">
        <v>211</v>
      </c>
      <c r="J344" s="149" t="s">
        <v>667</v>
      </c>
      <c r="K344" s="161">
        <v>1</v>
      </c>
    </row>
    <row r="345" spans="1:11">
      <c r="A345" s="146">
        <v>337</v>
      </c>
      <c r="B345" s="147" t="s">
        <v>40</v>
      </c>
      <c r="C345" s="147" t="s">
        <v>31</v>
      </c>
      <c r="D345" s="148" t="s">
        <v>32</v>
      </c>
      <c r="E345" s="148" t="s">
        <v>111</v>
      </c>
      <c r="F345" s="149">
        <v>737</v>
      </c>
      <c r="G345" s="149">
        <v>470</v>
      </c>
      <c r="H345" s="149">
        <v>18</v>
      </c>
      <c r="I345" s="149" t="s">
        <v>211</v>
      </c>
      <c r="J345" s="149" t="s">
        <v>667</v>
      </c>
      <c r="K345" s="161">
        <v>1</v>
      </c>
    </row>
    <row r="346" spans="1:11">
      <c r="A346" s="146">
        <v>338</v>
      </c>
      <c r="B346" s="147" t="s">
        <v>561</v>
      </c>
      <c r="C346" s="147" t="s">
        <v>131</v>
      </c>
      <c r="D346" s="148" t="s">
        <v>32</v>
      </c>
      <c r="E346" s="148" t="s">
        <v>111</v>
      </c>
      <c r="F346" s="149">
        <v>2438</v>
      </c>
      <c r="G346" s="149">
        <v>598</v>
      </c>
      <c r="H346" s="149">
        <v>18</v>
      </c>
      <c r="I346" s="149" t="s">
        <v>667</v>
      </c>
      <c r="J346" s="149" t="s">
        <v>211</v>
      </c>
      <c r="K346" s="161">
        <v>1</v>
      </c>
    </row>
    <row r="347" spans="1:11">
      <c r="A347" s="146">
        <v>339</v>
      </c>
      <c r="B347" s="147" t="s">
        <v>561</v>
      </c>
      <c r="C347" s="147" t="s">
        <v>35</v>
      </c>
      <c r="D347" s="148" t="s">
        <v>32</v>
      </c>
      <c r="E347" s="148" t="s">
        <v>111</v>
      </c>
      <c r="F347" s="149">
        <v>1663</v>
      </c>
      <c r="G347" s="149">
        <v>470</v>
      </c>
      <c r="H347" s="149">
        <v>18</v>
      </c>
      <c r="I347" s="149" t="s">
        <v>211</v>
      </c>
      <c r="J347" s="149" t="s">
        <v>667</v>
      </c>
      <c r="K347" s="161">
        <v>1</v>
      </c>
    </row>
    <row r="348" spans="1:11">
      <c r="A348" s="146">
        <v>340</v>
      </c>
      <c r="B348" s="147" t="s">
        <v>561</v>
      </c>
      <c r="C348" s="147" t="s">
        <v>35</v>
      </c>
      <c r="D348" s="148" t="s">
        <v>32</v>
      </c>
      <c r="E348" s="148" t="s">
        <v>111</v>
      </c>
      <c r="F348" s="149">
        <v>737</v>
      </c>
      <c r="G348" s="149">
        <v>470</v>
      </c>
      <c r="H348" s="149">
        <v>18</v>
      </c>
      <c r="I348" s="149" t="s">
        <v>211</v>
      </c>
      <c r="J348" s="149" t="s">
        <v>667</v>
      </c>
      <c r="K348" s="161">
        <v>1</v>
      </c>
    </row>
    <row r="349" spans="1:11">
      <c r="A349" s="146">
        <v>341</v>
      </c>
      <c r="B349" s="147" t="s">
        <v>562</v>
      </c>
      <c r="C349" s="147" t="s">
        <v>110</v>
      </c>
      <c r="D349" s="148" t="s">
        <v>32</v>
      </c>
      <c r="E349" s="148" t="s">
        <v>111</v>
      </c>
      <c r="F349" s="149">
        <v>598</v>
      </c>
      <c r="G349" s="149">
        <v>2438</v>
      </c>
      <c r="H349" s="149">
        <v>18</v>
      </c>
      <c r="I349" s="149" t="s">
        <v>670</v>
      </c>
      <c r="J349" s="149" t="s">
        <v>671</v>
      </c>
      <c r="K349" s="161">
        <v>1</v>
      </c>
    </row>
    <row r="350" spans="1:11">
      <c r="A350" s="146">
        <v>342</v>
      </c>
      <c r="B350" s="147" t="s">
        <v>562</v>
      </c>
      <c r="C350" s="147" t="s">
        <v>223</v>
      </c>
      <c r="D350" s="148" t="s">
        <v>32</v>
      </c>
      <c r="E350" s="148" t="s">
        <v>111</v>
      </c>
      <c r="F350" s="149">
        <v>598</v>
      </c>
      <c r="G350" s="149">
        <v>2438</v>
      </c>
      <c r="H350" s="149">
        <v>18</v>
      </c>
      <c r="I350" s="149" t="s">
        <v>670</v>
      </c>
      <c r="J350" s="149" t="s">
        <v>671</v>
      </c>
      <c r="K350" s="161">
        <v>1</v>
      </c>
    </row>
    <row r="351" spans="1:11">
      <c r="A351" s="146">
        <v>343</v>
      </c>
      <c r="B351" s="147" t="s">
        <v>562</v>
      </c>
      <c r="C351" s="147" t="s">
        <v>31</v>
      </c>
      <c r="D351" s="148" t="s">
        <v>32</v>
      </c>
      <c r="E351" s="148" t="s">
        <v>111</v>
      </c>
      <c r="F351" s="149">
        <v>737</v>
      </c>
      <c r="G351" s="149">
        <v>367</v>
      </c>
      <c r="H351" s="149">
        <v>18</v>
      </c>
      <c r="I351" s="149" t="s">
        <v>211</v>
      </c>
      <c r="J351" s="149" t="s">
        <v>667</v>
      </c>
      <c r="K351" s="161">
        <v>1</v>
      </c>
    </row>
    <row r="352" spans="1:11">
      <c r="A352" s="146">
        <v>344</v>
      </c>
      <c r="B352" s="147" t="s">
        <v>562</v>
      </c>
      <c r="C352" s="147" t="s">
        <v>35</v>
      </c>
      <c r="D352" s="148" t="s">
        <v>32</v>
      </c>
      <c r="E352" s="148" t="s">
        <v>111</v>
      </c>
      <c r="F352" s="149">
        <v>737</v>
      </c>
      <c r="G352" s="149">
        <v>367</v>
      </c>
      <c r="H352" s="149">
        <v>18</v>
      </c>
      <c r="I352" s="149" t="s">
        <v>211</v>
      </c>
      <c r="J352" s="149" t="s">
        <v>667</v>
      </c>
      <c r="K352" s="161">
        <v>1</v>
      </c>
    </row>
    <row r="353" spans="1:11">
      <c r="A353" s="146">
        <v>345</v>
      </c>
      <c r="B353" s="147" t="s">
        <v>562</v>
      </c>
      <c r="C353" s="147" t="s">
        <v>31</v>
      </c>
      <c r="D353" s="148" t="s">
        <v>32</v>
      </c>
      <c r="E353" s="148" t="s">
        <v>111</v>
      </c>
      <c r="F353" s="149">
        <v>1663</v>
      </c>
      <c r="G353" s="149">
        <v>367</v>
      </c>
      <c r="H353" s="149">
        <v>18</v>
      </c>
      <c r="I353" s="149" t="s">
        <v>211</v>
      </c>
      <c r="J353" s="149" t="s">
        <v>667</v>
      </c>
      <c r="K353" s="161">
        <v>1</v>
      </c>
    </row>
    <row r="354" spans="1:11">
      <c r="A354" s="146">
        <v>346</v>
      </c>
      <c r="B354" s="147" t="s">
        <v>562</v>
      </c>
      <c r="C354" s="147" t="s">
        <v>35</v>
      </c>
      <c r="D354" s="148" t="s">
        <v>32</v>
      </c>
      <c r="E354" s="148" t="s">
        <v>111</v>
      </c>
      <c r="F354" s="149">
        <v>1663</v>
      </c>
      <c r="G354" s="149">
        <v>367</v>
      </c>
      <c r="H354" s="149">
        <v>18</v>
      </c>
      <c r="I354" s="149" t="s">
        <v>211</v>
      </c>
      <c r="J354" s="149" t="s">
        <v>667</v>
      </c>
      <c r="K354" s="161">
        <v>1</v>
      </c>
    </row>
    <row r="355" spans="1:11">
      <c r="A355" s="146">
        <v>347</v>
      </c>
      <c r="B355" s="147" t="s">
        <v>563</v>
      </c>
      <c r="C355" s="147" t="s">
        <v>110</v>
      </c>
      <c r="D355" s="148" t="s">
        <v>32</v>
      </c>
      <c r="E355" s="148" t="s">
        <v>111</v>
      </c>
      <c r="F355" s="149">
        <v>293</v>
      </c>
      <c r="G355" s="149">
        <v>2453</v>
      </c>
      <c r="H355" s="149">
        <v>18</v>
      </c>
      <c r="I355" s="149" t="s">
        <v>670</v>
      </c>
      <c r="J355" s="149" t="s">
        <v>671</v>
      </c>
      <c r="K355" s="161">
        <v>1</v>
      </c>
    </row>
    <row r="356" spans="1:11">
      <c r="A356" s="146">
        <v>348</v>
      </c>
      <c r="B356" s="147" t="s">
        <v>563</v>
      </c>
      <c r="C356" s="147" t="s">
        <v>131</v>
      </c>
      <c r="D356" s="148" t="s">
        <v>32</v>
      </c>
      <c r="E356" s="148" t="s">
        <v>111</v>
      </c>
      <c r="F356" s="149">
        <v>2453</v>
      </c>
      <c r="G356" s="149">
        <v>48</v>
      </c>
      <c r="H356" s="149">
        <v>18</v>
      </c>
      <c r="I356" s="149" t="s">
        <v>667</v>
      </c>
      <c r="J356" s="149" t="s">
        <v>211</v>
      </c>
      <c r="K356" s="161">
        <v>2</v>
      </c>
    </row>
    <row r="357" spans="1:11">
      <c r="A357" s="146">
        <v>349</v>
      </c>
      <c r="B357" s="147" t="s">
        <v>563</v>
      </c>
      <c r="C357" s="147" t="s">
        <v>31</v>
      </c>
      <c r="D357" s="148" t="s">
        <v>32</v>
      </c>
      <c r="E357" s="148" t="s">
        <v>111</v>
      </c>
      <c r="F357" s="149">
        <v>1033</v>
      </c>
      <c r="G357" s="149">
        <v>487.25</v>
      </c>
      <c r="H357" s="149">
        <v>18</v>
      </c>
      <c r="I357" s="149" t="s">
        <v>211</v>
      </c>
      <c r="J357" s="149" t="s">
        <v>667</v>
      </c>
      <c r="K357" s="161">
        <v>2</v>
      </c>
    </row>
    <row r="358" spans="1:11">
      <c r="A358" s="146">
        <v>350</v>
      </c>
      <c r="B358" s="147" t="s">
        <v>563</v>
      </c>
      <c r="C358" s="147" t="s">
        <v>35</v>
      </c>
      <c r="D358" s="148" t="s">
        <v>32</v>
      </c>
      <c r="E358" s="148" t="s">
        <v>111</v>
      </c>
      <c r="F358" s="149">
        <v>1033</v>
      </c>
      <c r="G358" s="149">
        <v>487.25</v>
      </c>
      <c r="H358" s="149">
        <v>18</v>
      </c>
      <c r="I358" s="149" t="s">
        <v>211</v>
      </c>
      <c r="J358" s="149" t="s">
        <v>667</v>
      </c>
      <c r="K358" s="161">
        <v>2</v>
      </c>
    </row>
    <row r="359" spans="1:11">
      <c r="A359" s="146">
        <v>351</v>
      </c>
      <c r="B359" s="147" t="s">
        <v>563</v>
      </c>
      <c r="C359" s="147" t="s">
        <v>31</v>
      </c>
      <c r="D359" s="148" t="s">
        <v>32</v>
      </c>
      <c r="E359" s="148" t="s">
        <v>111</v>
      </c>
      <c r="F359" s="149">
        <v>1033</v>
      </c>
      <c r="G359" s="149">
        <v>431</v>
      </c>
      <c r="H359" s="149">
        <v>18</v>
      </c>
      <c r="I359" s="149" t="s">
        <v>211</v>
      </c>
      <c r="J359" s="149" t="s">
        <v>667</v>
      </c>
      <c r="K359" s="161">
        <v>1</v>
      </c>
    </row>
    <row r="360" spans="1:11">
      <c r="A360" s="146">
        <v>352</v>
      </c>
      <c r="B360" s="147" t="s">
        <v>563</v>
      </c>
      <c r="C360" s="147" t="s">
        <v>31</v>
      </c>
      <c r="D360" s="148" t="s">
        <v>32</v>
      </c>
      <c r="E360" s="148" t="s">
        <v>111</v>
      </c>
      <c r="F360" s="149">
        <v>1382</v>
      </c>
      <c r="G360" s="149">
        <v>431</v>
      </c>
      <c r="H360" s="149">
        <v>18</v>
      </c>
      <c r="I360" s="149" t="s">
        <v>211</v>
      </c>
      <c r="J360" s="149" t="s">
        <v>667</v>
      </c>
      <c r="K360" s="161">
        <v>1</v>
      </c>
    </row>
    <row r="361" spans="1:11">
      <c r="A361" s="146">
        <v>353</v>
      </c>
      <c r="B361" s="147" t="s">
        <v>563</v>
      </c>
      <c r="C361" s="147" t="s">
        <v>31</v>
      </c>
      <c r="D361" s="148" t="s">
        <v>32</v>
      </c>
      <c r="E361" s="148" t="s">
        <v>111</v>
      </c>
      <c r="F361" s="149">
        <v>1382</v>
      </c>
      <c r="G361" s="149">
        <v>487.25</v>
      </c>
      <c r="H361" s="149">
        <v>18</v>
      </c>
      <c r="I361" s="149" t="s">
        <v>211</v>
      </c>
      <c r="J361" s="149" t="s">
        <v>667</v>
      </c>
      <c r="K361" s="161">
        <v>2</v>
      </c>
    </row>
    <row r="362" spans="1:11">
      <c r="A362" s="146">
        <v>354</v>
      </c>
      <c r="B362" s="147" t="s">
        <v>563</v>
      </c>
      <c r="C362" s="147" t="s">
        <v>35</v>
      </c>
      <c r="D362" s="148" t="s">
        <v>32</v>
      </c>
      <c r="E362" s="148" t="s">
        <v>111</v>
      </c>
      <c r="F362" s="149">
        <v>1382</v>
      </c>
      <c r="G362" s="149">
        <v>487.25</v>
      </c>
      <c r="H362" s="149">
        <v>18</v>
      </c>
      <c r="I362" s="149" t="s">
        <v>211</v>
      </c>
      <c r="J362" s="149" t="s">
        <v>667</v>
      </c>
      <c r="K362" s="161">
        <v>2</v>
      </c>
    </row>
    <row r="363" spans="1:11">
      <c r="A363" s="146">
        <v>355</v>
      </c>
      <c r="B363" s="147" t="s">
        <v>564</v>
      </c>
      <c r="C363" s="147" t="s">
        <v>131</v>
      </c>
      <c r="D363" s="148" t="s">
        <v>32</v>
      </c>
      <c r="E363" s="148" t="s">
        <v>111</v>
      </c>
      <c r="F363" s="149">
        <v>2293</v>
      </c>
      <c r="G363" s="149">
        <v>48</v>
      </c>
      <c r="H363" s="149">
        <v>18</v>
      </c>
      <c r="I363" s="149" t="s">
        <v>667</v>
      </c>
      <c r="J363" s="149" t="s">
        <v>211</v>
      </c>
      <c r="K363" s="161">
        <v>1</v>
      </c>
    </row>
    <row r="364" spans="1:11">
      <c r="A364" s="146">
        <v>356</v>
      </c>
      <c r="B364" s="147" t="s">
        <v>564</v>
      </c>
      <c r="C364" s="147" t="s">
        <v>131</v>
      </c>
      <c r="D364" s="148" t="s">
        <v>32</v>
      </c>
      <c r="E364" s="148" t="s">
        <v>111</v>
      </c>
      <c r="F364" s="149">
        <v>2293</v>
      </c>
      <c r="G364" s="149">
        <v>623</v>
      </c>
      <c r="H364" s="149">
        <v>18</v>
      </c>
      <c r="I364" s="149" t="s">
        <v>667</v>
      </c>
      <c r="J364" s="149" t="s">
        <v>211</v>
      </c>
      <c r="K364" s="161">
        <v>1</v>
      </c>
    </row>
    <row r="365" spans="1:11">
      <c r="A365" s="146">
        <v>357</v>
      </c>
      <c r="B365" s="147" t="s">
        <v>564</v>
      </c>
      <c r="C365" s="147" t="s">
        <v>145</v>
      </c>
      <c r="D365" s="148" t="s">
        <v>32</v>
      </c>
      <c r="E365" s="148" t="s">
        <v>111</v>
      </c>
      <c r="F365" s="149">
        <v>1653</v>
      </c>
      <c r="G365" s="149">
        <v>158</v>
      </c>
      <c r="H365" s="149">
        <v>18</v>
      </c>
      <c r="I365" s="149" t="s">
        <v>667</v>
      </c>
      <c r="J365" s="149" t="s">
        <v>211</v>
      </c>
      <c r="K365" s="161">
        <v>1</v>
      </c>
    </row>
    <row r="366" spans="1:11">
      <c r="A366" s="146">
        <v>358</v>
      </c>
      <c r="B366" s="147" t="s">
        <v>564</v>
      </c>
      <c r="C366" s="147" t="s">
        <v>31</v>
      </c>
      <c r="D366" s="148" t="s">
        <v>32</v>
      </c>
      <c r="E366" s="148" t="s">
        <v>111</v>
      </c>
      <c r="F366" s="149">
        <v>2270</v>
      </c>
      <c r="G366" s="149">
        <v>485</v>
      </c>
      <c r="H366" s="149">
        <v>18</v>
      </c>
      <c r="I366" s="149" t="s">
        <v>211</v>
      </c>
      <c r="J366" s="149" t="s">
        <v>667</v>
      </c>
      <c r="K366" s="161">
        <v>1</v>
      </c>
    </row>
    <row r="367" spans="1:11">
      <c r="A367" s="146">
        <v>359</v>
      </c>
      <c r="B367" s="147" t="s">
        <v>564</v>
      </c>
      <c r="C367" s="147" t="s">
        <v>35</v>
      </c>
      <c r="D367" s="148" t="s">
        <v>32</v>
      </c>
      <c r="E367" s="148" t="s">
        <v>111</v>
      </c>
      <c r="F367" s="149">
        <v>2270</v>
      </c>
      <c r="G367" s="149">
        <v>485</v>
      </c>
      <c r="H367" s="149">
        <v>18</v>
      </c>
      <c r="I367" s="149" t="s">
        <v>211</v>
      </c>
      <c r="J367" s="149" t="s">
        <v>667</v>
      </c>
      <c r="K367" s="161">
        <v>1</v>
      </c>
    </row>
    <row r="368" spans="1:11">
      <c r="A368" s="146">
        <v>360</v>
      </c>
      <c r="B368" s="147" t="s">
        <v>565</v>
      </c>
      <c r="C368" s="147" t="s">
        <v>375</v>
      </c>
      <c r="D368" s="148" t="s">
        <v>32</v>
      </c>
      <c r="E368" s="148" t="s">
        <v>111</v>
      </c>
      <c r="F368" s="149">
        <v>489</v>
      </c>
      <c r="G368" s="149">
        <v>177</v>
      </c>
      <c r="H368" s="149">
        <v>18</v>
      </c>
      <c r="I368" s="149" t="s">
        <v>211</v>
      </c>
      <c r="J368" s="149" t="s">
        <v>667</v>
      </c>
      <c r="K368" s="161">
        <v>4</v>
      </c>
    </row>
    <row r="369" spans="1:11">
      <c r="A369" s="146">
        <v>361</v>
      </c>
      <c r="B369" s="147" t="s">
        <v>565</v>
      </c>
      <c r="C369" s="147" t="s">
        <v>375</v>
      </c>
      <c r="D369" s="148" t="s">
        <v>32</v>
      </c>
      <c r="E369" s="148" t="s">
        <v>111</v>
      </c>
      <c r="F369" s="149">
        <v>488</v>
      </c>
      <c r="G369" s="149">
        <v>177</v>
      </c>
      <c r="H369" s="149">
        <v>18</v>
      </c>
      <c r="I369" s="149" t="s">
        <v>211</v>
      </c>
      <c r="J369" s="149" t="s">
        <v>667</v>
      </c>
      <c r="K369" s="161">
        <v>1</v>
      </c>
    </row>
    <row r="370" spans="1:11">
      <c r="A370" s="146">
        <v>362</v>
      </c>
      <c r="B370" s="147" t="s">
        <v>565</v>
      </c>
      <c r="C370" s="147" t="s">
        <v>31</v>
      </c>
      <c r="D370" s="148" t="s">
        <v>32</v>
      </c>
      <c r="E370" s="148" t="s">
        <v>111</v>
      </c>
      <c r="F370" s="149">
        <v>1060</v>
      </c>
      <c r="G370" s="149">
        <v>406.5</v>
      </c>
      <c r="H370" s="149">
        <v>18</v>
      </c>
      <c r="I370" s="149" t="s">
        <v>211</v>
      </c>
      <c r="J370" s="149" t="s">
        <v>667</v>
      </c>
      <c r="K370" s="161">
        <v>2</v>
      </c>
    </row>
    <row r="371" spans="1:11">
      <c r="A371" s="146">
        <v>363</v>
      </c>
      <c r="B371" s="147" t="s">
        <v>565</v>
      </c>
      <c r="C371" s="147" t="s">
        <v>35</v>
      </c>
      <c r="D371" s="148" t="s">
        <v>32</v>
      </c>
      <c r="E371" s="148" t="s">
        <v>111</v>
      </c>
      <c r="F371" s="149">
        <v>1060</v>
      </c>
      <c r="G371" s="149">
        <v>406.5</v>
      </c>
      <c r="H371" s="149">
        <v>18</v>
      </c>
      <c r="I371" s="149" t="s">
        <v>211</v>
      </c>
      <c r="J371" s="149" t="s">
        <v>667</v>
      </c>
      <c r="K371" s="161">
        <v>2</v>
      </c>
    </row>
    <row r="372" spans="1:11">
      <c r="A372" s="146">
        <v>364</v>
      </c>
      <c r="B372" s="147" t="s">
        <v>565</v>
      </c>
      <c r="C372" s="147" t="s">
        <v>31</v>
      </c>
      <c r="D372" s="148" t="s">
        <v>32</v>
      </c>
      <c r="E372" s="148" t="s">
        <v>111</v>
      </c>
      <c r="F372" s="149">
        <v>726</v>
      </c>
      <c r="G372" s="149">
        <v>406.5</v>
      </c>
      <c r="H372" s="149">
        <v>18</v>
      </c>
      <c r="I372" s="149" t="s">
        <v>211</v>
      </c>
      <c r="J372" s="149" t="s">
        <v>667</v>
      </c>
      <c r="K372" s="161">
        <v>1</v>
      </c>
    </row>
    <row r="373" spans="1:11">
      <c r="A373" s="146">
        <v>365</v>
      </c>
      <c r="B373" s="147" t="s">
        <v>565</v>
      </c>
      <c r="C373" s="147" t="s">
        <v>35</v>
      </c>
      <c r="D373" s="148" t="s">
        <v>32</v>
      </c>
      <c r="E373" s="148" t="s">
        <v>111</v>
      </c>
      <c r="F373" s="149">
        <v>726</v>
      </c>
      <c r="G373" s="149">
        <v>406.5</v>
      </c>
      <c r="H373" s="149">
        <v>18</v>
      </c>
      <c r="I373" s="149" t="s">
        <v>211</v>
      </c>
      <c r="J373" s="149" t="s">
        <v>667</v>
      </c>
      <c r="K373" s="161">
        <v>1</v>
      </c>
    </row>
    <row r="374" spans="1:11">
      <c r="A374" s="146">
        <v>366</v>
      </c>
      <c r="B374" s="147" t="s">
        <v>41</v>
      </c>
      <c r="C374" s="147" t="s">
        <v>110</v>
      </c>
      <c r="D374" s="148" t="s">
        <v>32</v>
      </c>
      <c r="E374" s="148" t="s">
        <v>111</v>
      </c>
      <c r="F374" s="149">
        <v>348</v>
      </c>
      <c r="G374" s="149">
        <v>2418</v>
      </c>
      <c r="H374" s="149">
        <v>18</v>
      </c>
      <c r="I374" s="149" t="s">
        <v>670</v>
      </c>
      <c r="J374" s="149" t="s">
        <v>671</v>
      </c>
      <c r="K374" s="161">
        <v>1</v>
      </c>
    </row>
    <row r="375" spans="1:11">
      <c r="A375" s="146">
        <v>367</v>
      </c>
      <c r="B375" s="147" t="s">
        <v>41</v>
      </c>
      <c r="C375" s="147" t="s">
        <v>223</v>
      </c>
      <c r="D375" s="148" t="s">
        <v>32</v>
      </c>
      <c r="E375" s="148" t="s">
        <v>111</v>
      </c>
      <c r="F375" s="149">
        <v>348</v>
      </c>
      <c r="G375" s="149">
        <v>2418</v>
      </c>
      <c r="H375" s="149">
        <v>18</v>
      </c>
      <c r="I375" s="149" t="s">
        <v>670</v>
      </c>
      <c r="J375" s="149" t="s">
        <v>671</v>
      </c>
      <c r="K375" s="161">
        <v>1</v>
      </c>
    </row>
    <row r="376" spans="1:11">
      <c r="A376" s="146">
        <v>368</v>
      </c>
      <c r="B376" s="147" t="s">
        <v>566</v>
      </c>
      <c r="C376" s="147" t="s">
        <v>119</v>
      </c>
      <c r="D376" s="148" t="s">
        <v>32</v>
      </c>
      <c r="E376" s="148" t="s">
        <v>111</v>
      </c>
      <c r="F376" s="149">
        <v>691</v>
      </c>
      <c r="G376" s="149">
        <v>275</v>
      </c>
      <c r="H376" s="149">
        <v>18</v>
      </c>
      <c r="I376" s="149" t="s">
        <v>211</v>
      </c>
      <c r="J376" s="149" t="s">
        <v>667</v>
      </c>
      <c r="K376" s="161">
        <v>1</v>
      </c>
    </row>
    <row r="377" spans="1:11">
      <c r="A377" s="146">
        <v>369</v>
      </c>
      <c r="B377" s="147" t="s">
        <v>566</v>
      </c>
      <c r="C377" s="147" t="s">
        <v>142</v>
      </c>
      <c r="D377" s="148" t="s">
        <v>32</v>
      </c>
      <c r="E377" s="148" t="s">
        <v>111</v>
      </c>
      <c r="F377" s="149">
        <v>694</v>
      </c>
      <c r="G377" s="149">
        <v>348</v>
      </c>
      <c r="H377" s="149">
        <v>18</v>
      </c>
      <c r="I377" s="149" t="s">
        <v>668</v>
      </c>
      <c r="J377" s="149" t="s">
        <v>669</v>
      </c>
      <c r="K377" s="161">
        <v>1</v>
      </c>
    </row>
    <row r="378" spans="1:11">
      <c r="A378" s="146">
        <v>370</v>
      </c>
      <c r="B378" s="147" t="s">
        <v>567</v>
      </c>
      <c r="C378" s="147" t="s">
        <v>220</v>
      </c>
      <c r="D378" s="148" t="s">
        <v>32</v>
      </c>
      <c r="E378" s="148" t="s">
        <v>111</v>
      </c>
      <c r="F378" s="149">
        <v>891</v>
      </c>
      <c r="G378" s="149">
        <v>348</v>
      </c>
      <c r="H378" s="149">
        <v>18</v>
      </c>
      <c r="I378" s="149" t="s">
        <v>668</v>
      </c>
      <c r="J378" s="149" t="s">
        <v>669</v>
      </c>
      <c r="K378" s="161">
        <v>1</v>
      </c>
    </row>
    <row r="379" spans="1:11">
      <c r="A379" s="146">
        <v>371</v>
      </c>
      <c r="B379" s="147" t="s">
        <v>567</v>
      </c>
      <c r="C379" s="147" t="s">
        <v>531</v>
      </c>
      <c r="D379" s="148" t="s">
        <v>32</v>
      </c>
      <c r="E379" s="148" t="s">
        <v>111</v>
      </c>
      <c r="F379" s="149">
        <v>888</v>
      </c>
      <c r="G379" s="149">
        <v>275</v>
      </c>
      <c r="H379" s="149">
        <v>18</v>
      </c>
      <c r="I379" s="149" t="s">
        <v>211</v>
      </c>
      <c r="J379" s="149" t="s">
        <v>667</v>
      </c>
      <c r="K379" s="161">
        <v>1</v>
      </c>
    </row>
    <row r="380" spans="1:11">
      <c r="A380" s="146">
        <v>372</v>
      </c>
      <c r="B380" s="147" t="s">
        <v>568</v>
      </c>
      <c r="C380" s="147" t="s">
        <v>119</v>
      </c>
      <c r="D380" s="148" t="s">
        <v>32</v>
      </c>
      <c r="E380" s="148" t="s">
        <v>111</v>
      </c>
      <c r="F380" s="149">
        <v>692</v>
      </c>
      <c r="G380" s="149">
        <v>275</v>
      </c>
      <c r="H380" s="149">
        <v>18</v>
      </c>
      <c r="I380" s="149" t="s">
        <v>211</v>
      </c>
      <c r="J380" s="149" t="s">
        <v>667</v>
      </c>
      <c r="K380" s="161">
        <v>1</v>
      </c>
    </row>
    <row r="381" spans="1:11">
      <c r="A381" s="146">
        <v>373</v>
      </c>
      <c r="B381" s="147" t="s">
        <v>568</v>
      </c>
      <c r="C381" s="147" t="s">
        <v>119</v>
      </c>
      <c r="D381" s="148" t="s">
        <v>32</v>
      </c>
      <c r="E381" s="148" t="s">
        <v>111</v>
      </c>
      <c r="F381" s="149">
        <v>691</v>
      </c>
      <c r="G381" s="149">
        <v>275</v>
      </c>
      <c r="H381" s="149">
        <v>18</v>
      </c>
      <c r="I381" s="149" t="s">
        <v>211</v>
      </c>
      <c r="J381" s="149" t="s">
        <v>667</v>
      </c>
      <c r="K381" s="161">
        <v>1</v>
      </c>
    </row>
    <row r="382" spans="1:11">
      <c r="A382" s="146">
        <v>374</v>
      </c>
      <c r="B382" s="147" t="s">
        <v>568</v>
      </c>
      <c r="C382" s="147" t="s">
        <v>223</v>
      </c>
      <c r="D382" s="148" t="s">
        <v>32</v>
      </c>
      <c r="E382" s="148" t="s">
        <v>111</v>
      </c>
      <c r="F382" s="149">
        <v>348</v>
      </c>
      <c r="G382" s="149">
        <v>298</v>
      </c>
      <c r="H382" s="149">
        <v>18</v>
      </c>
      <c r="I382" s="149" t="s">
        <v>670</v>
      </c>
      <c r="J382" s="149" t="s">
        <v>671</v>
      </c>
      <c r="K382" s="161">
        <v>1</v>
      </c>
    </row>
    <row r="383" spans="1:11">
      <c r="A383" s="146">
        <v>375</v>
      </c>
      <c r="B383" s="147" t="s">
        <v>568</v>
      </c>
      <c r="C383" s="147" t="s">
        <v>142</v>
      </c>
      <c r="D383" s="148" t="s">
        <v>32</v>
      </c>
      <c r="E383" s="148" t="s">
        <v>111</v>
      </c>
      <c r="F383" s="149">
        <v>1409</v>
      </c>
      <c r="G383" s="149">
        <v>348</v>
      </c>
      <c r="H383" s="149">
        <v>18</v>
      </c>
      <c r="I383" s="149" t="s">
        <v>668</v>
      </c>
      <c r="J383" s="149" t="s">
        <v>669</v>
      </c>
      <c r="K383" s="161">
        <v>1</v>
      </c>
    </row>
    <row r="384" spans="1:11">
      <c r="A384" s="150" t="s">
        <v>673</v>
      </c>
      <c r="B384" s="151"/>
      <c r="C384" s="151"/>
      <c r="D384" s="152"/>
      <c r="E384" s="152"/>
      <c r="F384" s="153"/>
      <c r="G384" s="153"/>
      <c r="H384" s="153"/>
      <c r="I384" s="153"/>
      <c r="J384" s="153"/>
      <c r="K384" s="162">
        <f>SUM(K296:K383)</f>
        <v>107</v>
      </c>
    </row>
    <row r="385" spans="1:11">
      <c r="A385" s="142">
        <v>376</v>
      </c>
      <c r="B385" s="143" t="s">
        <v>551</v>
      </c>
      <c r="C385" s="143" t="s">
        <v>127</v>
      </c>
      <c r="D385" s="144" t="s">
        <v>32</v>
      </c>
      <c r="E385" s="144" t="s">
        <v>115</v>
      </c>
      <c r="F385" s="145">
        <v>670</v>
      </c>
      <c r="G385" s="145">
        <v>224</v>
      </c>
      <c r="H385" s="145">
        <v>9</v>
      </c>
      <c r="I385" s="145" t="s">
        <v>667</v>
      </c>
      <c r="J385" s="145" t="s">
        <v>667</v>
      </c>
      <c r="K385" s="160">
        <v>1</v>
      </c>
    </row>
    <row r="386" spans="1:11">
      <c r="A386" s="146">
        <v>377</v>
      </c>
      <c r="B386" s="147" t="s">
        <v>551</v>
      </c>
      <c r="C386" s="147" t="s">
        <v>114</v>
      </c>
      <c r="D386" s="148" t="s">
        <v>32</v>
      </c>
      <c r="E386" s="148" t="s">
        <v>115</v>
      </c>
      <c r="F386" s="149">
        <v>264</v>
      </c>
      <c r="G386" s="149">
        <v>732</v>
      </c>
      <c r="H386" s="149">
        <v>9</v>
      </c>
      <c r="I386" s="149" t="s">
        <v>667</v>
      </c>
      <c r="J386" s="149" t="s">
        <v>667</v>
      </c>
      <c r="K386" s="161">
        <v>1</v>
      </c>
    </row>
    <row r="387" spans="1:11">
      <c r="A387" s="146">
        <v>378</v>
      </c>
      <c r="B387" s="147" t="s">
        <v>30</v>
      </c>
      <c r="C387" s="147" t="s">
        <v>114</v>
      </c>
      <c r="D387" s="148" t="s">
        <v>32</v>
      </c>
      <c r="E387" s="148" t="s">
        <v>115</v>
      </c>
      <c r="F387" s="149">
        <v>237</v>
      </c>
      <c r="G387" s="149">
        <v>783</v>
      </c>
      <c r="H387" s="149">
        <v>9</v>
      </c>
      <c r="I387" s="149" t="s">
        <v>667</v>
      </c>
      <c r="J387" s="149" t="s">
        <v>667</v>
      </c>
      <c r="K387" s="161">
        <v>1</v>
      </c>
    </row>
    <row r="388" spans="1:11">
      <c r="A388" s="146">
        <v>379</v>
      </c>
      <c r="B388" s="147" t="s">
        <v>30</v>
      </c>
      <c r="C388" s="147" t="s">
        <v>114</v>
      </c>
      <c r="D388" s="148" t="s">
        <v>32</v>
      </c>
      <c r="E388" s="148" t="s">
        <v>115</v>
      </c>
      <c r="F388" s="149">
        <v>178</v>
      </c>
      <c r="G388" s="149">
        <v>783</v>
      </c>
      <c r="H388" s="149">
        <v>9</v>
      </c>
      <c r="I388" s="149" t="s">
        <v>667</v>
      </c>
      <c r="J388" s="149" t="s">
        <v>667</v>
      </c>
      <c r="K388" s="161">
        <v>2</v>
      </c>
    </row>
    <row r="389" spans="1:11">
      <c r="A389" s="146">
        <v>380</v>
      </c>
      <c r="B389" s="147" t="s">
        <v>30</v>
      </c>
      <c r="C389" s="147" t="s">
        <v>114</v>
      </c>
      <c r="D389" s="148" t="s">
        <v>32</v>
      </c>
      <c r="E389" s="148" t="s">
        <v>115</v>
      </c>
      <c r="F389" s="149">
        <v>247</v>
      </c>
      <c r="G389" s="149">
        <v>783</v>
      </c>
      <c r="H389" s="149">
        <v>9</v>
      </c>
      <c r="I389" s="149" t="s">
        <v>667</v>
      </c>
      <c r="J389" s="149" t="s">
        <v>667</v>
      </c>
      <c r="K389" s="161">
        <v>1</v>
      </c>
    </row>
    <row r="390" spans="1:11">
      <c r="A390" s="146">
        <v>381</v>
      </c>
      <c r="B390" s="147" t="s">
        <v>30</v>
      </c>
      <c r="C390" s="147" t="s">
        <v>114</v>
      </c>
      <c r="D390" s="148" t="s">
        <v>32</v>
      </c>
      <c r="E390" s="148" t="s">
        <v>115</v>
      </c>
      <c r="F390" s="149">
        <v>609</v>
      </c>
      <c r="G390" s="149">
        <v>792</v>
      </c>
      <c r="H390" s="149">
        <v>9</v>
      </c>
      <c r="I390" s="149" t="s">
        <v>667</v>
      </c>
      <c r="J390" s="149" t="s">
        <v>667</v>
      </c>
      <c r="K390" s="161">
        <v>1</v>
      </c>
    </row>
    <row r="391" spans="1:11">
      <c r="A391" s="146">
        <v>382</v>
      </c>
      <c r="B391" s="147" t="s">
        <v>30</v>
      </c>
      <c r="C391" s="147" t="s">
        <v>114</v>
      </c>
      <c r="D391" s="148" t="s">
        <v>32</v>
      </c>
      <c r="E391" s="148" t="s">
        <v>115</v>
      </c>
      <c r="F391" s="149">
        <v>247</v>
      </c>
      <c r="G391" s="149">
        <v>792</v>
      </c>
      <c r="H391" s="149">
        <v>9</v>
      </c>
      <c r="I391" s="149" t="s">
        <v>667</v>
      </c>
      <c r="J391" s="149" t="s">
        <v>667</v>
      </c>
      <c r="K391" s="161">
        <v>1</v>
      </c>
    </row>
    <row r="392" spans="1:11">
      <c r="A392" s="146">
        <v>383</v>
      </c>
      <c r="B392" s="147" t="s">
        <v>30</v>
      </c>
      <c r="C392" s="147" t="s">
        <v>114</v>
      </c>
      <c r="D392" s="148" t="s">
        <v>32</v>
      </c>
      <c r="E392" s="148" t="s">
        <v>115</v>
      </c>
      <c r="F392" s="149">
        <v>237</v>
      </c>
      <c r="G392" s="149">
        <v>383</v>
      </c>
      <c r="H392" s="149">
        <v>9</v>
      </c>
      <c r="I392" s="149" t="s">
        <v>667</v>
      </c>
      <c r="J392" s="149" t="s">
        <v>667</v>
      </c>
      <c r="K392" s="161">
        <v>1</v>
      </c>
    </row>
    <row r="393" spans="1:11">
      <c r="A393" s="146">
        <v>384</v>
      </c>
      <c r="B393" s="147" t="s">
        <v>30</v>
      </c>
      <c r="C393" s="147" t="s">
        <v>114</v>
      </c>
      <c r="D393" s="148" t="s">
        <v>32</v>
      </c>
      <c r="E393" s="148" t="s">
        <v>115</v>
      </c>
      <c r="F393" s="149">
        <v>178</v>
      </c>
      <c r="G393" s="149">
        <v>383</v>
      </c>
      <c r="H393" s="149">
        <v>9</v>
      </c>
      <c r="I393" s="149" t="s">
        <v>667</v>
      </c>
      <c r="J393" s="149" t="s">
        <v>667</v>
      </c>
      <c r="K393" s="161">
        <v>2</v>
      </c>
    </row>
    <row r="394" spans="1:11">
      <c r="A394" s="146">
        <v>385</v>
      </c>
      <c r="B394" s="147" t="s">
        <v>30</v>
      </c>
      <c r="C394" s="147" t="s">
        <v>114</v>
      </c>
      <c r="D394" s="148" t="s">
        <v>32</v>
      </c>
      <c r="E394" s="148" t="s">
        <v>115</v>
      </c>
      <c r="F394" s="149">
        <v>247</v>
      </c>
      <c r="G394" s="149">
        <v>383</v>
      </c>
      <c r="H394" s="149">
        <v>9</v>
      </c>
      <c r="I394" s="149" t="s">
        <v>667</v>
      </c>
      <c r="J394" s="149" t="s">
        <v>667</v>
      </c>
      <c r="K394" s="161">
        <v>1</v>
      </c>
    </row>
    <row r="395" spans="1:11">
      <c r="A395" s="146">
        <v>386</v>
      </c>
      <c r="B395" s="147" t="s">
        <v>30</v>
      </c>
      <c r="C395" s="147" t="s">
        <v>114</v>
      </c>
      <c r="D395" s="148" t="s">
        <v>32</v>
      </c>
      <c r="E395" s="148" t="s">
        <v>115</v>
      </c>
      <c r="F395" s="149">
        <v>624</v>
      </c>
      <c r="G395" s="149">
        <v>783</v>
      </c>
      <c r="H395" s="149">
        <v>9</v>
      </c>
      <c r="I395" s="149" t="s">
        <v>667</v>
      </c>
      <c r="J395" s="149" t="s">
        <v>667</v>
      </c>
      <c r="K395" s="161">
        <v>1</v>
      </c>
    </row>
    <row r="396" spans="1:11">
      <c r="A396" s="146">
        <v>387</v>
      </c>
      <c r="B396" s="147" t="s">
        <v>30</v>
      </c>
      <c r="C396" s="147" t="s">
        <v>114</v>
      </c>
      <c r="D396" s="148" t="s">
        <v>32</v>
      </c>
      <c r="E396" s="148" t="s">
        <v>115</v>
      </c>
      <c r="F396" s="149">
        <v>624</v>
      </c>
      <c r="G396" s="149">
        <v>792</v>
      </c>
      <c r="H396" s="149">
        <v>9</v>
      </c>
      <c r="I396" s="149" t="s">
        <v>667</v>
      </c>
      <c r="J396" s="149" t="s">
        <v>667</v>
      </c>
      <c r="K396" s="161">
        <v>1</v>
      </c>
    </row>
    <row r="397" spans="1:11">
      <c r="A397" s="146">
        <v>388</v>
      </c>
      <c r="B397" s="147" t="s">
        <v>30</v>
      </c>
      <c r="C397" s="147" t="s">
        <v>114</v>
      </c>
      <c r="D397" s="148" t="s">
        <v>32</v>
      </c>
      <c r="E397" s="148" t="s">
        <v>115</v>
      </c>
      <c r="F397" s="149">
        <v>624</v>
      </c>
      <c r="G397" s="149">
        <v>383</v>
      </c>
      <c r="H397" s="149">
        <v>9</v>
      </c>
      <c r="I397" s="149" t="s">
        <v>667</v>
      </c>
      <c r="J397" s="149" t="s">
        <v>667</v>
      </c>
      <c r="K397" s="161">
        <v>1</v>
      </c>
    </row>
    <row r="398" spans="1:11">
      <c r="A398" s="146">
        <v>389</v>
      </c>
      <c r="B398" s="147" t="s">
        <v>36</v>
      </c>
      <c r="C398" s="147" t="s">
        <v>114</v>
      </c>
      <c r="D398" s="148" t="s">
        <v>32</v>
      </c>
      <c r="E398" s="148" t="s">
        <v>115</v>
      </c>
      <c r="F398" s="149">
        <v>450</v>
      </c>
      <c r="G398" s="149">
        <v>442</v>
      </c>
      <c r="H398" s="149">
        <v>9</v>
      </c>
      <c r="I398" s="149" t="s">
        <v>667</v>
      </c>
      <c r="J398" s="149" t="s">
        <v>667</v>
      </c>
      <c r="K398" s="161">
        <v>4</v>
      </c>
    </row>
    <row r="399" spans="1:11">
      <c r="A399" s="146">
        <v>390</v>
      </c>
      <c r="B399" s="147" t="s">
        <v>36</v>
      </c>
      <c r="C399" s="147" t="s">
        <v>114</v>
      </c>
      <c r="D399" s="148" t="s">
        <v>32</v>
      </c>
      <c r="E399" s="148" t="s">
        <v>115</v>
      </c>
      <c r="F399" s="149">
        <v>292</v>
      </c>
      <c r="G399" s="149">
        <v>442</v>
      </c>
      <c r="H399" s="149">
        <v>9</v>
      </c>
      <c r="I399" s="149" t="s">
        <v>667</v>
      </c>
      <c r="J399" s="149" t="s">
        <v>667</v>
      </c>
      <c r="K399" s="161">
        <v>1</v>
      </c>
    </row>
    <row r="400" spans="1:11">
      <c r="A400" s="146">
        <v>391</v>
      </c>
      <c r="B400" s="147" t="s">
        <v>553</v>
      </c>
      <c r="C400" s="147" t="s">
        <v>114</v>
      </c>
      <c r="D400" s="148" t="s">
        <v>32</v>
      </c>
      <c r="E400" s="148" t="s">
        <v>115</v>
      </c>
      <c r="F400" s="149">
        <v>379</v>
      </c>
      <c r="G400" s="149">
        <v>894</v>
      </c>
      <c r="H400" s="149">
        <v>9</v>
      </c>
      <c r="I400" s="149" t="s">
        <v>667</v>
      </c>
      <c r="J400" s="149" t="s">
        <v>667</v>
      </c>
      <c r="K400" s="161">
        <v>1</v>
      </c>
    </row>
    <row r="401" spans="1:11">
      <c r="A401" s="146">
        <v>392</v>
      </c>
      <c r="B401" s="147" t="s">
        <v>554</v>
      </c>
      <c r="C401" s="147" t="s">
        <v>114</v>
      </c>
      <c r="D401" s="148" t="s">
        <v>32</v>
      </c>
      <c r="E401" s="148" t="s">
        <v>115</v>
      </c>
      <c r="F401" s="149">
        <v>664</v>
      </c>
      <c r="G401" s="149">
        <v>671</v>
      </c>
      <c r="H401" s="149">
        <v>9</v>
      </c>
      <c r="I401" s="149" t="s">
        <v>667</v>
      </c>
      <c r="J401" s="149" t="s">
        <v>667</v>
      </c>
      <c r="K401" s="161">
        <v>1</v>
      </c>
    </row>
    <row r="402" spans="1:11">
      <c r="A402" s="146">
        <v>393</v>
      </c>
      <c r="B402" s="147" t="s">
        <v>554</v>
      </c>
      <c r="C402" s="147" t="s">
        <v>114</v>
      </c>
      <c r="D402" s="148" t="s">
        <v>32</v>
      </c>
      <c r="E402" s="148" t="s">
        <v>115</v>
      </c>
      <c r="F402" s="149">
        <v>321</v>
      </c>
      <c r="G402" s="149">
        <v>671</v>
      </c>
      <c r="H402" s="149">
        <v>9</v>
      </c>
      <c r="I402" s="149" t="s">
        <v>667</v>
      </c>
      <c r="J402" s="149" t="s">
        <v>667</v>
      </c>
      <c r="K402" s="161">
        <v>1</v>
      </c>
    </row>
    <row r="403" spans="1:11">
      <c r="A403" s="146">
        <v>394</v>
      </c>
      <c r="B403" s="147" t="s">
        <v>554</v>
      </c>
      <c r="C403" s="147" t="s">
        <v>114</v>
      </c>
      <c r="D403" s="148" t="s">
        <v>32</v>
      </c>
      <c r="E403" s="148" t="s">
        <v>115</v>
      </c>
      <c r="F403" s="149">
        <v>650</v>
      </c>
      <c r="G403" s="149">
        <v>671</v>
      </c>
      <c r="H403" s="149">
        <v>9</v>
      </c>
      <c r="I403" s="149" t="s">
        <v>667</v>
      </c>
      <c r="J403" s="149" t="s">
        <v>667</v>
      </c>
      <c r="K403" s="161">
        <v>1</v>
      </c>
    </row>
    <row r="404" spans="1:11">
      <c r="A404" s="146">
        <v>395</v>
      </c>
      <c r="B404" s="147" t="s">
        <v>555</v>
      </c>
      <c r="C404" s="147" t="s">
        <v>114</v>
      </c>
      <c r="D404" s="148" t="s">
        <v>32</v>
      </c>
      <c r="E404" s="148" t="s">
        <v>115</v>
      </c>
      <c r="F404" s="149">
        <v>749</v>
      </c>
      <c r="G404" s="149">
        <v>311</v>
      </c>
      <c r="H404" s="149">
        <v>9</v>
      </c>
      <c r="I404" s="149" t="s">
        <v>667</v>
      </c>
      <c r="J404" s="149" t="s">
        <v>667</v>
      </c>
      <c r="K404" s="161">
        <v>1</v>
      </c>
    </row>
    <row r="405" spans="1:11">
      <c r="A405" s="146">
        <v>396</v>
      </c>
      <c r="B405" s="147" t="s">
        <v>556</v>
      </c>
      <c r="C405" s="147" t="s">
        <v>114</v>
      </c>
      <c r="D405" s="148" t="s">
        <v>32</v>
      </c>
      <c r="E405" s="148" t="s">
        <v>115</v>
      </c>
      <c r="F405" s="149">
        <v>1648</v>
      </c>
      <c r="G405" s="149">
        <v>314</v>
      </c>
      <c r="H405" s="149">
        <v>9</v>
      </c>
      <c r="I405" s="149" t="s">
        <v>667</v>
      </c>
      <c r="J405" s="149" t="s">
        <v>667</v>
      </c>
      <c r="K405" s="161">
        <v>1</v>
      </c>
    </row>
    <row r="406" spans="1:11">
      <c r="A406" s="146">
        <v>397</v>
      </c>
      <c r="B406" s="147" t="s">
        <v>556</v>
      </c>
      <c r="C406" s="147" t="s">
        <v>114</v>
      </c>
      <c r="D406" s="148" t="s">
        <v>32</v>
      </c>
      <c r="E406" s="148" t="s">
        <v>115</v>
      </c>
      <c r="F406" s="149">
        <v>583</v>
      </c>
      <c r="G406" s="149">
        <v>314</v>
      </c>
      <c r="H406" s="149">
        <v>9</v>
      </c>
      <c r="I406" s="149" t="s">
        <v>667</v>
      </c>
      <c r="J406" s="149" t="s">
        <v>667</v>
      </c>
      <c r="K406" s="161">
        <v>1</v>
      </c>
    </row>
    <row r="407" spans="1:11">
      <c r="A407" s="146">
        <v>398</v>
      </c>
      <c r="B407" s="147" t="s">
        <v>557</v>
      </c>
      <c r="C407" s="147" t="s">
        <v>127</v>
      </c>
      <c r="D407" s="148" t="s">
        <v>32</v>
      </c>
      <c r="E407" s="148" t="s">
        <v>115</v>
      </c>
      <c r="F407" s="149">
        <v>388</v>
      </c>
      <c r="G407" s="149">
        <v>324</v>
      </c>
      <c r="H407" s="149">
        <v>9</v>
      </c>
      <c r="I407" s="149" t="s">
        <v>667</v>
      </c>
      <c r="J407" s="149" t="s">
        <v>667</v>
      </c>
      <c r="K407" s="161">
        <v>1</v>
      </c>
    </row>
    <row r="408" spans="1:11">
      <c r="A408" s="146">
        <v>399</v>
      </c>
      <c r="B408" s="147" t="s">
        <v>557</v>
      </c>
      <c r="C408" s="147" t="s">
        <v>127</v>
      </c>
      <c r="D408" s="148" t="s">
        <v>32</v>
      </c>
      <c r="E408" s="148" t="s">
        <v>115</v>
      </c>
      <c r="F408" s="149">
        <v>389</v>
      </c>
      <c r="G408" s="149">
        <v>324</v>
      </c>
      <c r="H408" s="149">
        <v>9</v>
      </c>
      <c r="I408" s="149" t="s">
        <v>667</v>
      </c>
      <c r="J408" s="149" t="s">
        <v>667</v>
      </c>
      <c r="K408" s="161">
        <v>1</v>
      </c>
    </row>
    <row r="409" spans="1:11">
      <c r="A409" s="146">
        <v>400</v>
      </c>
      <c r="B409" s="147" t="s">
        <v>38</v>
      </c>
      <c r="C409" s="147" t="s">
        <v>127</v>
      </c>
      <c r="D409" s="148" t="s">
        <v>32</v>
      </c>
      <c r="E409" s="148" t="s">
        <v>115</v>
      </c>
      <c r="F409" s="149">
        <v>336</v>
      </c>
      <c r="G409" s="149">
        <v>474</v>
      </c>
      <c r="H409" s="149">
        <v>9</v>
      </c>
      <c r="I409" s="149" t="s">
        <v>667</v>
      </c>
      <c r="J409" s="149" t="s">
        <v>667</v>
      </c>
      <c r="K409" s="161">
        <v>3</v>
      </c>
    </row>
    <row r="410" spans="1:11">
      <c r="A410" s="146">
        <v>401</v>
      </c>
      <c r="B410" s="147" t="s">
        <v>38</v>
      </c>
      <c r="C410" s="147" t="s">
        <v>114</v>
      </c>
      <c r="D410" s="148" t="s">
        <v>32</v>
      </c>
      <c r="E410" s="148" t="s">
        <v>115</v>
      </c>
      <c r="F410" s="149">
        <v>685</v>
      </c>
      <c r="G410" s="149">
        <v>398</v>
      </c>
      <c r="H410" s="149">
        <v>9</v>
      </c>
      <c r="I410" s="149" t="s">
        <v>667</v>
      </c>
      <c r="J410" s="149" t="s">
        <v>667</v>
      </c>
      <c r="K410" s="161">
        <v>1</v>
      </c>
    </row>
    <row r="411" spans="1:11">
      <c r="A411" s="146">
        <v>402</v>
      </c>
      <c r="B411" s="147" t="s">
        <v>38</v>
      </c>
      <c r="C411" s="147" t="s">
        <v>114</v>
      </c>
      <c r="D411" s="148" t="s">
        <v>32</v>
      </c>
      <c r="E411" s="148" t="s">
        <v>115</v>
      </c>
      <c r="F411" s="149">
        <v>439</v>
      </c>
      <c r="G411" s="149">
        <v>398</v>
      </c>
      <c r="H411" s="149">
        <v>9</v>
      </c>
      <c r="I411" s="149" t="s">
        <v>667</v>
      </c>
      <c r="J411" s="149" t="s">
        <v>667</v>
      </c>
      <c r="K411" s="161">
        <v>3</v>
      </c>
    </row>
    <row r="412" spans="1:11">
      <c r="A412" s="146">
        <v>403</v>
      </c>
      <c r="B412" s="147" t="s">
        <v>558</v>
      </c>
      <c r="C412" s="147" t="s">
        <v>114</v>
      </c>
      <c r="D412" s="148" t="s">
        <v>32</v>
      </c>
      <c r="E412" s="148" t="s">
        <v>115</v>
      </c>
      <c r="F412" s="149">
        <v>685</v>
      </c>
      <c r="G412" s="149">
        <v>831</v>
      </c>
      <c r="H412" s="149">
        <v>9</v>
      </c>
      <c r="I412" s="149" t="s">
        <v>667</v>
      </c>
      <c r="J412" s="149" t="s">
        <v>667</v>
      </c>
      <c r="K412" s="161">
        <v>1</v>
      </c>
    </row>
    <row r="413" spans="1:11">
      <c r="A413" s="146">
        <v>404</v>
      </c>
      <c r="B413" s="147" t="s">
        <v>558</v>
      </c>
      <c r="C413" s="147" t="s">
        <v>114</v>
      </c>
      <c r="D413" s="148" t="s">
        <v>32</v>
      </c>
      <c r="E413" s="148" t="s">
        <v>115</v>
      </c>
      <c r="F413" s="149">
        <v>1183</v>
      </c>
      <c r="G413" s="149">
        <v>831</v>
      </c>
      <c r="H413" s="149">
        <v>9</v>
      </c>
      <c r="I413" s="149" t="s">
        <v>667</v>
      </c>
      <c r="J413" s="149" t="s">
        <v>667</v>
      </c>
      <c r="K413" s="161">
        <v>1</v>
      </c>
    </row>
    <row r="414" spans="1:11">
      <c r="A414" s="146">
        <v>405</v>
      </c>
      <c r="B414" s="147" t="s">
        <v>558</v>
      </c>
      <c r="C414" s="147" t="s">
        <v>114</v>
      </c>
      <c r="D414" s="148" t="s">
        <v>32</v>
      </c>
      <c r="E414" s="148" t="s">
        <v>115</v>
      </c>
      <c r="F414" s="149">
        <v>420</v>
      </c>
      <c r="G414" s="149">
        <v>831</v>
      </c>
      <c r="H414" s="149">
        <v>9</v>
      </c>
      <c r="I414" s="149" t="s">
        <v>667</v>
      </c>
      <c r="J414" s="149" t="s">
        <v>667</v>
      </c>
      <c r="K414" s="161">
        <v>1</v>
      </c>
    </row>
    <row r="415" spans="1:11">
      <c r="A415" s="146">
        <v>406</v>
      </c>
      <c r="B415" s="147" t="s">
        <v>558</v>
      </c>
      <c r="C415" s="147" t="s">
        <v>114</v>
      </c>
      <c r="D415" s="148" t="s">
        <v>32</v>
      </c>
      <c r="E415" s="148" t="s">
        <v>115</v>
      </c>
      <c r="F415" s="149">
        <v>685</v>
      </c>
      <c r="G415" s="149">
        <v>407</v>
      </c>
      <c r="H415" s="149">
        <v>9</v>
      </c>
      <c r="I415" s="149" t="s">
        <v>667</v>
      </c>
      <c r="J415" s="149" t="s">
        <v>667</v>
      </c>
      <c r="K415" s="161">
        <v>1</v>
      </c>
    </row>
    <row r="416" spans="1:11">
      <c r="A416" s="146">
        <v>407</v>
      </c>
      <c r="B416" s="147" t="s">
        <v>558</v>
      </c>
      <c r="C416" s="147" t="s">
        <v>114</v>
      </c>
      <c r="D416" s="148" t="s">
        <v>32</v>
      </c>
      <c r="E416" s="148" t="s">
        <v>115</v>
      </c>
      <c r="F416" s="149">
        <v>389</v>
      </c>
      <c r="G416" s="149">
        <v>407</v>
      </c>
      <c r="H416" s="149">
        <v>9</v>
      </c>
      <c r="I416" s="149" t="s">
        <v>667</v>
      </c>
      <c r="J416" s="149" t="s">
        <v>667</v>
      </c>
      <c r="K416" s="161">
        <v>3</v>
      </c>
    </row>
    <row r="417" spans="1:11">
      <c r="A417" s="146">
        <v>408</v>
      </c>
      <c r="B417" s="147" t="s">
        <v>558</v>
      </c>
      <c r="C417" s="147" t="s">
        <v>114</v>
      </c>
      <c r="D417" s="148" t="s">
        <v>32</v>
      </c>
      <c r="E417" s="148" t="s">
        <v>115</v>
      </c>
      <c r="F417" s="149">
        <v>420</v>
      </c>
      <c r="G417" s="149">
        <v>407</v>
      </c>
      <c r="H417" s="149">
        <v>9</v>
      </c>
      <c r="I417" s="149" t="s">
        <v>667</v>
      </c>
      <c r="J417" s="149" t="s">
        <v>667</v>
      </c>
      <c r="K417" s="161">
        <v>1</v>
      </c>
    </row>
    <row r="418" spans="1:11">
      <c r="A418" s="146">
        <v>409</v>
      </c>
      <c r="B418" s="147" t="s">
        <v>559</v>
      </c>
      <c r="C418" s="147" t="s">
        <v>114</v>
      </c>
      <c r="D418" s="148" t="s">
        <v>32</v>
      </c>
      <c r="E418" s="148" t="s">
        <v>115</v>
      </c>
      <c r="F418" s="149">
        <v>932</v>
      </c>
      <c r="G418" s="149">
        <v>998</v>
      </c>
      <c r="H418" s="149">
        <v>9</v>
      </c>
      <c r="I418" s="149" t="s">
        <v>667</v>
      </c>
      <c r="J418" s="149" t="s">
        <v>667</v>
      </c>
      <c r="K418" s="161">
        <v>1</v>
      </c>
    </row>
    <row r="419" spans="1:11">
      <c r="A419" s="146">
        <v>410</v>
      </c>
      <c r="B419" s="147" t="s">
        <v>559</v>
      </c>
      <c r="C419" s="147" t="s">
        <v>114</v>
      </c>
      <c r="D419" s="148" t="s">
        <v>32</v>
      </c>
      <c r="E419" s="148" t="s">
        <v>115</v>
      </c>
      <c r="F419" s="149">
        <v>936</v>
      </c>
      <c r="G419" s="149">
        <v>998</v>
      </c>
      <c r="H419" s="149">
        <v>9</v>
      </c>
      <c r="I419" s="149" t="s">
        <v>667</v>
      </c>
      <c r="J419" s="149" t="s">
        <v>667</v>
      </c>
      <c r="K419" s="161">
        <v>1</v>
      </c>
    </row>
    <row r="420" spans="1:11">
      <c r="A420" s="146">
        <v>411</v>
      </c>
      <c r="B420" s="147" t="s">
        <v>559</v>
      </c>
      <c r="C420" s="147" t="s">
        <v>114</v>
      </c>
      <c r="D420" s="148" t="s">
        <v>32</v>
      </c>
      <c r="E420" s="148" t="s">
        <v>115</v>
      </c>
      <c r="F420" s="149">
        <v>420</v>
      </c>
      <c r="G420" s="149">
        <v>998</v>
      </c>
      <c r="H420" s="149">
        <v>9</v>
      </c>
      <c r="I420" s="149" t="s">
        <v>667</v>
      </c>
      <c r="J420" s="149" t="s">
        <v>667</v>
      </c>
      <c r="K420" s="161">
        <v>1</v>
      </c>
    </row>
    <row r="421" spans="1:11">
      <c r="A421" s="146">
        <v>412</v>
      </c>
      <c r="B421" s="147" t="s">
        <v>40</v>
      </c>
      <c r="C421" s="147" t="s">
        <v>114</v>
      </c>
      <c r="D421" s="148" t="s">
        <v>32</v>
      </c>
      <c r="E421" s="148" t="s">
        <v>115</v>
      </c>
      <c r="F421" s="149">
        <v>685</v>
      </c>
      <c r="G421" s="149">
        <v>458</v>
      </c>
      <c r="H421" s="149">
        <v>9</v>
      </c>
      <c r="I421" s="149" t="s">
        <v>667</v>
      </c>
      <c r="J421" s="149" t="s">
        <v>667</v>
      </c>
      <c r="K421" s="161">
        <v>1</v>
      </c>
    </row>
    <row r="422" spans="1:11">
      <c r="A422" s="146">
        <v>413</v>
      </c>
      <c r="B422" s="147" t="s">
        <v>40</v>
      </c>
      <c r="C422" s="147" t="s">
        <v>114</v>
      </c>
      <c r="D422" s="148" t="s">
        <v>32</v>
      </c>
      <c r="E422" s="148" t="s">
        <v>115</v>
      </c>
      <c r="F422" s="149">
        <v>389</v>
      </c>
      <c r="G422" s="149">
        <v>458</v>
      </c>
      <c r="H422" s="149">
        <v>9</v>
      </c>
      <c r="I422" s="149" t="s">
        <v>667</v>
      </c>
      <c r="J422" s="149" t="s">
        <v>667</v>
      </c>
      <c r="K422" s="161">
        <v>3</v>
      </c>
    </row>
    <row r="423" spans="1:11">
      <c r="A423" s="146">
        <v>414</v>
      </c>
      <c r="B423" s="147" t="s">
        <v>40</v>
      </c>
      <c r="C423" s="147" t="s">
        <v>114</v>
      </c>
      <c r="D423" s="148" t="s">
        <v>32</v>
      </c>
      <c r="E423" s="148" t="s">
        <v>115</v>
      </c>
      <c r="F423" s="149">
        <v>420</v>
      </c>
      <c r="G423" s="149">
        <v>458</v>
      </c>
      <c r="H423" s="149">
        <v>9</v>
      </c>
      <c r="I423" s="149" t="s">
        <v>667</v>
      </c>
      <c r="J423" s="149" t="s">
        <v>667</v>
      </c>
      <c r="K423" s="161">
        <v>1</v>
      </c>
    </row>
    <row r="424" spans="1:11">
      <c r="A424" s="146">
        <v>415</v>
      </c>
      <c r="B424" s="147" t="s">
        <v>40</v>
      </c>
      <c r="C424" s="147" t="s">
        <v>127</v>
      </c>
      <c r="D424" s="148" t="s">
        <v>32</v>
      </c>
      <c r="E424" s="148" t="s">
        <v>115</v>
      </c>
      <c r="F424" s="149">
        <v>849</v>
      </c>
      <c r="G424" s="149">
        <v>442</v>
      </c>
      <c r="H424" s="149">
        <v>9</v>
      </c>
      <c r="I424" s="149" t="s">
        <v>667</v>
      </c>
      <c r="J424" s="149" t="s">
        <v>667</v>
      </c>
      <c r="K424" s="161">
        <v>2</v>
      </c>
    </row>
    <row r="425" spans="1:11">
      <c r="A425" s="146">
        <v>416</v>
      </c>
      <c r="B425" s="147" t="s">
        <v>40</v>
      </c>
      <c r="C425" s="147" t="s">
        <v>114</v>
      </c>
      <c r="D425" s="148" t="s">
        <v>32</v>
      </c>
      <c r="E425" s="148" t="s">
        <v>115</v>
      </c>
      <c r="F425" s="149">
        <v>858</v>
      </c>
      <c r="G425" s="149">
        <v>983</v>
      </c>
      <c r="H425" s="149">
        <v>9</v>
      </c>
      <c r="I425" s="149" t="s">
        <v>667</v>
      </c>
      <c r="J425" s="149" t="s">
        <v>667</v>
      </c>
      <c r="K425" s="161">
        <v>1</v>
      </c>
    </row>
    <row r="426" spans="1:11">
      <c r="A426" s="146">
        <v>417</v>
      </c>
      <c r="B426" s="147" t="s">
        <v>40</v>
      </c>
      <c r="C426" s="147" t="s">
        <v>114</v>
      </c>
      <c r="D426" s="148" t="s">
        <v>32</v>
      </c>
      <c r="E426" s="148" t="s">
        <v>115</v>
      </c>
      <c r="F426" s="149">
        <v>1010</v>
      </c>
      <c r="G426" s="149">
        <v>983</v>
      </c>
      <c r="H426" s="149">
        <v>9</v>
      </c>
      <c r="I426" s="149" t="s">
        <v>667</v>
      </c>
      <c r="J426" s="149" t="s">
        <v>667</v>
      </c>
      <c r="K426" s="161">
        <v>1</v>
      </c>
    </row>
    <row r="427" spans="1:11">
      <c r="A427" s="146">
        <v>418</v>
      </c>
      <c r="B427" s="147" t="s">
        <v>40</v>
      </c>
      <c r="C427" s="147" t="s">
        <v>114</v>
      </c>
      <c r="D427" s="148" t="s">
        <v>32</v>
      </c>
      <c r="E427" s="148" t="s">
        <v>115</v>
      </c>
      <c r="F427" s="149">
        <v>420</v>
      </c>
      <c r="G427" s="149">
        <v>983</v>
      </c>
      <c r="H427" s="149">
        <v>9</v>
      </c>
      <c r="I427" s="149" t="s">
        <v>667</v>
      </c>
      <c r="J427" s="149" t="s">
        <v>667</v>
      </c>
      <c r="K427" s="161">
        <v>1</v>
      </c>
    </row>
    <row r="428" spans="1:11">
      <c r="A428" s="146">
        <v>419</v>
      </c>
      <c r="B428" s="147" t="s">
        <v>561</v>
      </c>
      <c r="C428" s="147" t="s">
        <v>114</v>
      </c>
      <c r="D428" s="148" t="s">
        <v>32</v>
      </c>
      <c r="E428" s="148" t="s">
        <v>115</v>
      </c>
      <c r="F428" s="149">
        <v>1876</v>
      </c>
      <c r="G428" s="149">
        <v>1049</v>
      </c>
      <c r="H428" s="149">
        <v>9</v>
      </c>
      <c r="I428" s="149" t="s">
        <v>667</v>
      </c>
      <c r="J428" s="149" t="s">
        <v>667</v>
      </c>
      <c r="K428" s="161">
        <v>1</v>
      </c>
    </row>
    <row r="429" spans="1:11">
      <c r="A429" s="146">
        <v>420</v>
      </c>
      <c r="B429" s="147" t="s">
        <v>561</v>
      </c>
      <c r="C429" s="147" t="s">
        <v>114</v>
      </c>
      <c r="D429" s="148" t="s">
        <v>32</v>
      </c>
      <c r="E429" s="148" t="s">
        <v>115</v>
      </c>
      <c r="F429" s="149">
        <v>420</v>
      </c>
      <c r="G429" s="149">
        <v>1049</v>
      </c>
      <c r="H429" s="149">
        <v>9</v>
      </c>
      <c r="I429" s="149" t="s">
        <v>667</v>
      </c>
      <c r="J429" s="149" t="s">
        <v>667</v>
      </c>
      <c r="K429" s="161">
        <v>1</v>
      </c>
    </row>
    <row r="430" spans="1:11">
      <c r="A430" s="146">
        <v>421</v>
      </c>
      <c r="B430" s="147" t="s">
        <v>562</v>
      </c>
      <c r="C430" s="147" t="s">
        <v>114</v>
      </c>
      <c r="D430" s="148" t="s">
        <v>32</v>
      </c>
      <c r="E430" s="148" t="s">
        <v>115</v>
      </c>
      <c r="F430" s="149">
        <v>685</v>
      </c>
      <c r="G430" s="149">
        <v>754</v>
      </c>
      <c r="H430" s="149">
        <v>9</v>
      </c>
      <c r="I430" s="149" t="s">
        <v>667</v>
      </c>
      <c r="J430" s="149" t="s">
        <v>667</v>
      </c>
      <c r="K430" s="161">
        <v>1</v>
      </c>
    </row>
    <row r="431" spans="1:11">
      <c r="A431" s="146">
        <v>422</v>
      </c>
      <c r="B431" s="147" t="s">
        <v>562</v>
      </c>
      <c r="C431" s="147" t="s">
        <v>114</v>
      </c>
      <c r="D431" s="148" t="s">
        <v>32</v>
      </c>
      <c r="E431" s="148" t="s">
        <v>115</v>
      </c>
      <c r="F431" s="149">
        <v>1183</v>
      </c>
      <c r="G431" s="149">
        <v>754</v>
      </c>
      <c r="H431" s="149">
        <v>9</v>
      </c>
      <c r="I431" s="149" t="s">
        <v>667</v>
      </c>
      <c r="J431" s="149" t="s">
        <v>667</v>
      </c>
      <c r="K431" s="161">
        <v>1</v>
      </c>
    </row>
    <row r="432" spans="1:11">
      <c r="A432" s="146">
        <v>423</v>
      </c>
      <c r="B432" s="147" t="s">
        <v>562</v>
      </c>
      <c r="C432" s="147" t="s">
        <v>114</v>
      </c>
      <c r="D432" s="148" t="s">
        <v>32</v>
      </c>
      <c r="E432" s="148" t="s">
        <v>115</v>
      </c>
      <c r="F432" s="149">
        <v>420</v>
      </c>
      <c r="G432" s="149">
        <v>754</v>
      </c>
      <c r="H432" s="149">
        <v>9</v>
      </c>
      <c r="I432" s="149" t="s">
        <v>667</v>
      </c>
      <c r="J432" s="149" t="s">
        <v>667</v>
      </c>
      <c r="K432" s="161">
        <v>1</v>
      </c>
    </row>
    <row r="433" spans="1:11">
      <c r="A433" s="146">
        <v>424</v>
      </c>
      <c r="B433" s="147" t="s">
        <v>563</v>
      </c>
      <c r="C433" s="147" t="s">
        <v>114</v>
      </c>
      <c r="D433" s="148" t="s">
        <v>32</v>
      </c>
      <c r="E433" s="148" t="s">
        <v>115</v>
      </c>
      <c r="F433" s="149">
        <v>438</v>
      </c>
      <c r="G433" s="149">
        <v>410</v>
      </c>
      <c r="H433" s="149">
        <v>9</v>
      </c>
      <c r="I433" s="149" t="s">
        <v>667</v>
      </c>
      <c r="J433" s="149" t="s">
        <v>667</v>
      </c>
      <c r="K433" s="161">
        <v>3</v>
      </c>
    </row>
    <row r="434" spans="1:11">
      <c r="A434" s="146">
        <v>425</v>
      </c>
      <c r="B434" s="147" t="s">
        <v>563</v>
      </c>
      <c r="C434" s="147" t="s">
        <v>114</v>
      </c>
      <c r="D434" s="148" t="s">
        <v>32</v>
      </c>
      <c r="E434" s="148" t="s">
        <v>115</v>
      </c>
      <c r="F434" s="149">
        <v>486</v>
      </c>
      <c r="G434" s="149">
        <v>410</v>
      </c>
      <c r="H434" s="149">
        <v>9</v>
      </c>
      <c r="I434" s="149" t="s">
        <v>667</v>
      </c>
      <c r="J434" s="149" t="s">
        <v>667</v>
      </c>
      <c r="K434" s="161">
        <v>1</v>
      </c>
    </row>
    <row r="435" spans="1:11">
      <c r="A435" s="146">
        <v>426</v>
      </c>
      <c r="B435" s="147" t="s">
        <v>563</v>
      </c>
      <c r="C435" s="147" t="s">
        <v>114</v>
      </c>
      <c r="D435" s="148" t="s">
        <v>32</v>
      </c>
      <c r="E435" s="148" t="s">
        <v>115</v>
      </c>
      <c r="F435" s="149">
        <v>487</v>
      </c>
      <c r="G435" s="149">
        <v>410</v>
      </c>
      <c r="H435" s="149">
        <v>9</v>
      </c>
      <c r="I435" s="149" t="s">
        <v>667</v>
      </c>
      <c r="J435" s="149" t="s">
        <v>667</v>
      </c>
      <c r="K435" s="161">
        <v>1</v>
      </c>
    </row>
    <row r="436" spans="1:11">
      <c r="A436" s="146">
        <v>427</v>
      </c>
      <c r="B436" s="147" t="s">
        <v>563</v>
      </c>
      <c r="C436" s="147" t="s">
        <v>114</v>
      </c>
      <c r="D436" s="148" t="s">
        <v>32</v>
      </c>
      <c r="E436" s="148" t="s">
        <v>115</v>
      </c>
      <c r="F436" s="149">
        <v>321</v>
      </c>
      <c r="G436" s="149">
        <v>985</v>
      </c>
      <c r="H436" s="149">
        <v>9</v>
      </c>
      <c r="I436" s="149" t="s">
        <v>667</v>
      </c>
      <c r="J436" s="149" t="s">
        <v>667</v>
      </c>
      <c r="K436" s="161">
        <v>2</v>
      </c>
    </row>
    <row r="437" spans="1:11">
      <c r="A437" s="146">
        <v>428</v>
      </c>
      <c r="B437" s="147" t="s">
        <v>563</v>
      </c>
      <c r="C437" s="147" t="s">
        <v>114</v>
      </c>
      <c r="D437" s="148" t="s">
        <v>32</v>
      </c>
      <c r="E437" s="148" t="s">
        <v>115</v>
      </c>
      <c r="F437" s="149">
        <v>323</v>
      </c>
      <c r="G437" s="149">
        <v>985</v>
      </c>
      <c r="H437" s="149">
        <v>9</v>
      </c>
      <c r="I437" s="149" t="s">
        <v>667</v>
      </c>
      <c r="J437" s="149" t="s">
        <v>667</v>
      </c>
      <c r="K437" s="161">
        <v>1</v>
      </c>
    </row>
    <row r="438" spans="1:11">
      <c r="A438" s="146">
        <v>429</v>
      </c>
      <c r="B438" s="147" t="s">
        <v>563</v>
      </c>
      <c r="C438" s="147" t="s">
        <v>114</v>
      </c>
      <c r="D438" s="148" t="s">
        <v>32</v>
      </c>
      <c r="E438" s="148" t="s">
        <v>115</v>
      </c>
      <c r="F438" s="149">
        <v>321</v>
      </c>
      <c r="G438" s="149">
        <v>986</v>
      </c>
      <c r="H438" s="149">
        <v>9</v>
      </c>
      <c r="I438" s="149" t="s">
        <v>667</v>
      </c>
      <c r="J438" s="149" t="s">
        <v>667</v>
      </c>
      <c r="K438" s="161">
        <v>2</v>
      </c>
    </row>
    <row r="439" spans="1:11">
      <c r="A439" s="146">
        <v>430</v>
      </c>
      <c r="B439" s="147" t="s">
        <v>563</v>
      </c>
      <c r="C439" s="147" t="s">
        <v>114</v>
      </c>
      <c r="D439" s="148" t="s">
        <v>32</v>
      </c>
      <c r="E439" s="148" t="s">
        <v>115</v>
      </c>
      <c r="F439" s="149">
        <v>323</v>
      </c>
      <c r="G439" s="149">
        <v>986</v>
      </c>
      <c r="H439" s="149">
        <v>9</v>
      </c>
      <c r="I439" s="149" t="s">
        <v>667</v>
      </c>
      <c r="J439" s="149" t="s">
        <v>667</v>
      </c>
      <c r="K439" s="161">
        <v>1</v>
      </c>
    </row>
    <row r="440" spans="1:11">
      <c r="A440" s="146">
        <v>431</v>
      </c>
      <c r="B440" s="147" t="s">
        <v>564</v>
      </c>
      <c r="C440" s="147" t="s">
        <v>127</v>
      </c>
      <c r="D440" s="148" t="s">
        <v>32</v>
      </c>
      <c r="E440" s="148" t="s">
        <v>115</v>
      </c>
      <c r="F440" s="149">
        <v>375</v>
      </c>
      <c r="G440" s="149">
        <v>392</v>
      </c>
      <c r="H440" s="149">
        <v>9</v>
      </c>
      <c r="I440" s="149" t="s">
        <v>667</v>
      </c>
      <c r="J440" s="149" t="s">
        <v>667</v>
      </c>
      <c r="K440" s="161">
        <v>1</v>
      </c>
    </row>
    <row r="441" spans="1:11">
      <c r="A441" s="146">
        <v>432</v>
      </c>
      <c r="B441" s="147" t="s">
        <v>564</v>
      </c>
      <c r="C441" s="147" t="s">
        <v>114</v>
      </c>
      <c r="D441" s="148" t="s">
        <v>32</v>
      </c>
      <c r="E441" s="148" t="s">
        <v>115</v>
      </c>
      <c r="F441" s="149">
        <v>768</v>
      </c>
      <c r="G441" s="149">
        <v>473</v>
      </c>
      <c r="H441" s="149">
        <v>9</v>
      </c>
      <c r="I441" s="149" t="s">
        <v>667</v>
      </c>
      <c r="J441" s="149" t="s">
        <v>667</v>
      </c>
      <c r="K441" s="161">
        <v>1</v>
      </c>
    </row>
    <row r="442" spans="1:11">
      <c r="A442" s="146">
        <v>433</v>
      </c>
      <c r="B442" s="147" t="s">
        <v>564</v>
      </c>
      <c r="C442" s="147" t="s">
        <v>114</v>
      </c>
      <c r="D442" s="148" t="s">
        <v>32</v>
      </c>
      <c r="E442" s="148" t="s">
        <v>115</v>
      </c>
      <c r="F442" s="149">
        <v>915</v>
      </c>
      <c r="G442" s="149">
        <v>473</v>
      </c>
      <c r="H442" s="149">
        <v>9</v>
      </c>
      <c r="I442" s="149" t="s">
        <v>667</v>
      </c>
      <c r="J442" s="149" t="s">
        <v>667</v>
      </c>
      <c r="K442" s="161">
        <v>1</v>
      </c>
    </row>
    <row r="443" spans="1:11">
      <c r="A443" s="146">
        <v>434</v>
      </c>
      <c r="B443" s="147" t="s">
        <v>564</v>
      </c>
      <c r="C443" s="147" t="s">
        <v>114</v>
      </c>
      <c r="D443" s="148" t="s">
        <v>32</v>
      </c>
      <c r="E443" s="148" t="s">
        <v>115</v>
      </c>
      <c r="F443" s="149">
        <v>510</v>
      </c>
      <c r="G443" s="149">
        <v>473</v>
      </c>
      <c r="H443" s="149">
        <v>9</v>
      </c>
      <c r="I443" s="149" t="s">
        <v>667</v>
      </c>
      <c r="J443" s="149" t="s">
        <v>667</v>
      </c>
      <c r="K443" s="161">
        <v>1</v>
      </c>
    </row>
    <row r="444" spans="1:11">
      <c r="A444" s="146">
        <v>435</v>
      </c>
      <c r="B444" s="147" t="s">
        <v>564</v>
      </c>
      <c r="C444" s="147" t="s">
        <v>114</v>
      </c>
      <c r="D444" s="148" t="s">
        <v>32</v>
      </c>
      <c r="E444" s="148" t="s">
        <v>115</v>
      </c>
      <c r="F444" s="149">
        <v>1691</v>
      </c>
      <c r="G444" s="149">
        <v>1048</v>
      </c>
      <c r="H444" s="149">
        <v>9</v>
      </c>
      <c r="I444" s="149" t="s">
        <v>667</v>
      </c>
      <c r="J444" s="149" t="s">
        <v>667</v>
      </c>
      <c r="K444" s="161">
        <v>1</v>
      </c>
    </row>
    <row r="445" spans="1:11">
      <c r="A445" s="146">
        <v>436</v>
      </c>
      <c r="B445" s="147" t="s">
        <v>564</v>
      </c>
      <c r="C445" s="147" t="s">
        <v>114</v>
      </c>
      <c r="D445" s="148" t="s">
        <v>32</v>
      </c>
      <c r="E445" s="148" t="s">
        <v>115</v>
      </c>
      <c r="F445" s="149">
        <v>510</v>
      </c>
      <c r="G445" s="149">
        <v>1048</v>
      </c>
      <c r="H445" s="149">
        <v>9</v>
      </c>
      <c r="I445" s="149" t="s">
        <v>667</v>
      </c>
      <c r="J445" s="149" t="s">
        <v>667</v>
      </c>
      <c r="K445" s="161">
        <v>1</v>
      </c>
    </row>
    <row r="446" spans="1:11">
      <c r="A446" s="146">
        <v>437</v>
      </c>
      <c r="B446" s="147" t="s">
        <v>565</v>
      </c>
      <c r="C446" s="147" t="s">
        <v>127</v>
      </c>
      <c r="D446" s="148" t="s">
        <v>32</v>
      </c>
      <c r="E446" s="148" t="s">
        <v>115</v>
      </c>
      <c r="F446" s="149">
        <v>433</v>
      </c>
      <c r="G446" s="149">
        <v>492</v>
      </c>
      <c r="H446" s="149">
        <v>9</v>
      </c>
      <c r="I446" s="149" t="s">
        <v>667</v>
      </c>
      <c r="J446" s="149" t="s">
        <v>667</v>
      </c>
      <c r="K446" s="161">
        <v>1</v>
      </c>
    </row>
    <row r="447" spans="1:11">
      <c r="A447" s="146">
        <v>438</v>
      </c>
      <c r="B447" s="147" t="s">
        <v>565</v>
      </c>
      <c r="C447" s="147" t="s">
        <v>127</v>
      </c>
      <c r="D447" s="148" t="s">
        <v>32</v>
      </c>
      <c r="E447" s="148" t="s">
        <v>115</v>
      </c>
      <c r="F447" s="149">
        <v>424</v>
      </c>
      <c r="G447" s="149">
        <v>492</v>
      </c>
      <c r="H447" s="149">
        <v>9</v>
      </c>
      <c r="I447" s="149" t="s">
        <v>667</v>
      </c>
      <c r="J447" s="149" t="s">
        <v>667</v>
      </c>
      <c r="K447" s="161">
        <v>3</v>
      </c>
    </row>
    <row r="448" spans="1:11">
      <c r="A448" s="146">
        <v>439</v>
      </c>
      <c r="B448" s="147" t="s">
        <v>565</v>
      </c>
      <c r="C448" s="147" t="s">
        <v>127</v>
      </c>
      <c r="D448" s="148" t="s">
        <v>32</v>
      </c>
      <c r="E448" s="148" t="s">
        <v>115</v>
      </c>
      <c r="F448" s="149">
        <v>432</v>
      </c>
      <c r="G448" s="149">
        <v>492</v>
      </c>
      <c r="H448" s="149">
        <v>9</v>
      </c>
      <c r="I448" s="149" t="s">
        <v>667</v>
      </c>
      <c r="J448" s="149" t="s">
        <v>667</v>
      </c>
      <c r="K448" s="161">
        <v>1</v>
      </c>
    </row>
    <row r="449" spans="1:11">
      <c r="A449" s="146">
        <v>440</v>
      </c>
      <c r="B449" s="147" t="s">
        <v>565</v>
      </c>
      <c r="C449" s="147" t="s">
        <v>114</v>
      </c>
      <c r="D449" s="148" t="s">
        <v>32</v>
      </c>
      <c r="E449" s="148" t="s">
        <v>115</v>
      </c>
      <c r="F449" s="149">
        <v>326</v>
      </c>
      <c r="G449" s="149">
        <v>815</v>
      </c>
      <c r="H449" s="149">
        <v>9</v>
      </c>
      <c r="I449" s="149" t="s">
        <v>667</v>
      </c>
      <c r="J449" s="149" t="s">
        <v>667</v>
      </c>
      <c r="K449" s="161">
        <v>4</v>
      </c>
    </row>
    <row r="450" spans="1:11">
      <c r="A450" s="146">
        <v>441</v>
      </c>
      <c r="B450" s="147" t="s">
        <v>565</v>
      </c>
      <c r="C450" s="147" t="s">
        <v>114</v>
      </c>
      <c r="D450" s="148" t="s">
        <v>32</v>
      </c>
      <c r="E450" s="148" t="s">
        <v>115</v>
      </c>
      <c r="F450" s="149">
        <v>331</v>
      </c>
      <c r="G450" s="149">
        <v>815</v>
      </c>
      <c r="H450" s="149">
        <v>9</v>
      </c>
      <c r="I450" s="149" t="s">
        <v>667</v>
      </c>
      <c r="J450" s="149" t="s">
        <v>667</v>
      </c>
      <c r="K450" s="161">
        <v>2</v>
      </c>
    </row>
    <row r="451" spans="1:11">
      <c r="A451" s="146">
        <v>442</v>
      </c>
      <c r="B451" s="147" t="s">
        <v>565</v>
      </c>
      <c r="C451" s="147" t="s">
        <v>114</v>
      </c>
      <c r="D451" s="148" t="s">
        <v>32</v>
      </c>
      <c r="E451" s="148" t="s">
        <v>115</v>
      </c>
      <c r="F451" s="149">
        <v>326</v>
      </c>
      <c r="G451" s="149">
        <v>833</v>
      </c>
      <c r="H451" s="149">
        <v>9</v>
      </c>
      <c r="I451" s="149" t="s">
        <v>667</v>
      </c>
      <c r="J451" s="149" t="s">
        <v>667</v>
      </c>
      <c r="K451" s="161">
        <v>2</v>
      </c>
    </row>
    <row r="452" spans="1:11">
      <c r="A452" s="146">
        <v>443</v>
      </c>
      <c r="B452" s="147" t="s">
        <v>565</v>
      </c>
      <c r="C452" s="147" t="s">
        <v>114</v>
      </c>
      <c r="D452" s="148" t="s">
        <v>32</v>
      </c>
      <c r="E452" s="148" t="s">
        <v>115</v>
      </c>
      <c r="F452" s="149">
        <v>331</v>
      </c>
      <c r="G452" s="149">
        <v>833</v>
      </c>
      <c r="H452" s="149">
        <v>9</v>
      </c>
      <c r="I452" s="149" t="s">
        <v>667</v>
      </c>
      <c r="J452" s="149" t="s">
        <v>667</v>
      </c>
      <c r="K452" s="161">
        <v>1</v>
      </c>
    </row>
    <row r="453" spans="1:11">
      <c r="A453" s="146">
        <v>444</v>
      </c>
      <c r="B453" s="147" t="s">
        <v>41</v>
      </c>
      <c r="C453" s="147" t="s">
        <v>114</v>
      </c>
      <c r="D453" s="148" t="s">
        <v>32</v>
      </c>
      <c r="E453" s="148" t="s">
        <v>115</v>
      </c>
      <c r="F453" s="149">
        <v>450</v>
      </c>
      <c r="G453" s="149">
        <v>460</v>
      </c>
      <c r="H453" s="149">
        <v>9</v>
      </c>
      <c r="I453" s="149" t="s">
        <v>667</v>
      </c>
      <c r="J453" s="149" t="s">
        <v>667</v>
      </c>
      <c r="K453" s="161">
        <v>4</v>
      </c>
    </row>
    <row r="454" spans="1:11">
      <c r="A454" s="146">
        <v>445</v>
      </c>
      <c r="B454" s="147" t="s">
        <v>41</v>
      </c>
      <c r="C454" s="147" t="s">
        <v>114</v>
      </c>
      <c r="D454" s="148" t="s">
        <v>32</v>
      </c>
      <c r="E454" s="148" t="s">
        <v>115</v>
      </c>
      <c r="F454" s="149">
        <v>452</v>
      </c>
      <c r="G454" s="149">
        <v>460</v>
      </c>
      <c r="H454" s="149">
        <v>9</v>
      </c>
      <c r="I454" s="149" t="s">
        <v>667</v>
      </c>
      <c r="J454" s="149" t="s">
        <v>667</v>
      </c>
      <c r="K454" s="161">
        <v>1</v>
      </c>
    </row>
    <row r="455" spans="1:11">
      <c r="A455" s="146">
        <v>446</v>
      </c>
      <c r="B455" s="147" t="s">
        <v>566</v>
      </c>
      <c r="C455" s="147" t="s">
        <v>127</v>
      </c>
      <c r="D455" s="148" t="s">
        <v>32</v>
      </c>
      <c r="E455" s="148" t="s">
        <v>115</v>
      </c>
      <c r="F455" s="149">
        <v>608</v>
      </c>
      <c r="G455" s="149">
        <v>224</v>
      </c>
      <c r="H455" s="149">
        <v>9</v>
      </c>
      <c r="I455" s="149" t="s">
        <v>667</v>
      </c>
      <c r="J455" s="149" t="s">
        <v>667</v>
      </c>
      <c r="K455" s="161">
        <v>1</v>
      </c>
    </row>
    <row r="456" spans="1:11">
      <c r="A456" s="146">
        <v>447</v>
      </c>
      <c r="B456" s="147" t="s">
        <v>566</v>
      </c>
      <c r="C456" s="147" t="s">
        <v>114</v>
      </c>
      <c r="D456" s="148" t="s">
        <v>32</v>
      </c>
      <c r="E456" s="148" t="s">
        <v>115</v>
      </c>
      <c r="F456" s="149">
        <v>274</v>
      </c>
      <c r="G456" s="149">
        <v>670</v>
      </c>
      <c r="H456" s="149">
        <v>9</v>
      </c>
      <c r="I456" s="149" t="s">
        <v>667</v>
      </c>
      <c r="J456" s="149" t="s">
        <v>667</v>
      </c>
      <c r="K456" s="161">
        <v>1</v>
      </c>
    </row>
    <row r="457" spans="1:11">
      <c r="A457" s="146">
        <v>448</v>
      </c>
      <c r="B457" s="147" t="s">
        <v>568</v>
      </c>
      <c r="C457" s="147" t="s">
        <v>127</v>
      </c>
      <c r="D457" s="148" t="s">
        <v>32</v>
      </c>
      <c r="E457" s="148" t="s">
        <v>115</v>
      </c>
      <c r="F457" s="149">
        <v>618</v>
      </c>
      <c r="G457" s="149">
        <v>224</v>
      </c>
      <c r="H457" s="149">
        <v>9</v>
      </c>
      <c r="I457" s="149" t="s">
        <v>667</v>
      </c>
      <c r="J457" s="149" t="s">
        <v>667</v>
      </c>
      <c r="K457" s="161">
        <v>1</v>
      </c>
    </row>
    <row r="458" spans="1:11">
      <c r="A458" s="146">
        <v>449</v>
      </c>
      <c r="B458" s="147" t="s">
        <v>568</v>
      </c>
      <c r="C458" s="147" t="s">
        <v>114</v>
      </c>
      <c r="D458" s="148" t="s">
        <v>32</v>
      </c>
      <c r="E458" s="148" t="s">
        <v>115</v>
      </c>
      <c r="F458" s="149">
        <v>274</v>
      </c>
      <c r="G458" s="149">
        <v>680</v>
      </c>
      <c r="H458" s="149">
        <v>9</v>
      </c>
      <c r="I458" s="149" t="s">
        <v>667</v>
      </c>
      <c r="J458" s="149" t="s">
        <v>667</v>
      </c>
      <c r="K458" s="161">
        <v>1</v>
      </c>
    </row>
    <row r="459" spans="1:11">
      <c r="A459" s="146">
        <v>450</v>
      </c>
      <c r="B459" s="147" t="s">
        <v>568</v>
      </c>
      <c r="C459" s="147" t="s">
        <v>127</v>
      </c>
      <c r="D459" s="148" t="s">
        <v>32</v>
      </c>
      <c r="E459" s="148" t="s">
        <v>115</v>
      </c>
      <c r="F459" s="149">
        <v>635</v>
      </c>
      <c r="G459" s="149">
        <v>224</v>
      </c>
      <c r="H459" s="149">
        <v>9</v>
      </c>
      <c r="I459" s="149" t="s">
        <v>667</v>
      </c>
      <c r="J459" s="149" t="s">
        <v>667</v>
      </c>
      <c r="K459" s="161">
        <v>1</v>
      </c>
    </row>
    <row r="460" spans="1:11">
      <c r="A460" s="146">
        <v>451</v>
      </c>
      <c r="B460" s="147" t="s">
        <v>568</v>
      </c>
      <c r="C460" s="147" t="s">
        <v>114</v>
      </c>
      <c r="D460" s="148" t="s">
        <v>32</v>
      </c>
      <c r="E460" s="148" t="s">
        <v>115</v>
      </c>
      <c r="F460" s="149">
        <v>274</v>
      </c>
      <c r="G460" s="149">
        <v>697</v>
      </c>
      <c r="H460" s="149">
        <v>9</v>
      </c>
      <c r="I460" s="149" t="s">
        <v>667</v>
      </c>
      <c r="J460" s="149" t="s">
        <v>667</v>
      </c>
      <c r="K460" s="161">
        <v>1</v>
      </c>
    </row>
    <row r="461" spans="1:11">
      <c r="A461" s="150" t="s">
        <v>674</v>
      </c>
      <c r="B461" s="151"/>
      <c r="C461" s="151"/>
      <c r="D461" s="152"/>
      <c r="E461" s="152"/>
      <c r="F461" s="153"/>
      <c r="G461" s="153"/>
      <c r="H461" s="153"/>
      <c r="I461" s="153"/>
      <c r="J461" s="153"/>
      <c r="K461" s="162">
        <f>SUM(K385:K460)</f>
        <v>104</v>
      </c>
    </row>
  </sheetData>
  <mergeCells count="23">
    <mergeCell ref="A1:K1"/>
    <mergeCell ref="B2:C2"/>
    <mergeCell ref="E2:F2"/>
    <mergeCell ref="H2:K2"/>
    <mergeCell ref="B3:C3"/>
    <mergeCell ref="E3:F3"/>
    <mergeCell ref="H3:K3"/>
    <mergeCell ref="B4:C4"/>
    <mergeCell ref="E4:F4"/>
    <mergeCell ref="H4:K4"/>
    <mergeCell ref="F5:H5"/>
    <mergeCell ref="A14:J14"/>
    <mergeCell ref="A295:J295"/>
    <mergeCell ref="A384:J384"/>
    <mergeCell ref="A461:J461"/>
    <mergeCell ref="A5:A6"/>
    <mergeCell ref="B5:B6"/>
    <mergeCell ref="C5:C6"/>
    <mergeCell ref="D5:D6"/>
    <mergeCell ref="E5:E6"/>
    <mergeCell ref="I5:I6"/>
    <mergeCell ref="J5:J6"/>
    <mergeCell ref="K5:K6"/>
  </mergeCells>
  <pageMargins left="0.393700787401575" right="0.393700787401575" top="0.590551181102362" bottom="0.590551181102362" header="0.511811023622047" footer="0.511811023622047"/>
  <pageSetup paperSize="9" orientation="portrait" horizontalDpi="2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9"/>
  </sheetPr>
  <dimension ref="A1:K13"/>
  <sheetViews>
    <sheetView zoomScale="110" zoomScaleNormal="110" zoomScaleSheetLayoutView="110" workbookViewId="0">
      <selection activeCell="J13" sqref="J13"/>
    </sheetView>
  </sheetViews>
  <sheetFormatPr defaultColWidth="9.13333333333333" defaultRowHeight="13.5"/>
  <cols>
    <col min="1" max="1" width="4.63333333333333" style="89" customWidth="1"/>
    <col min="2" max="2" width="14.6333333333333" style="89" customWidth="1"/>
    <col min="3" max="3" width="10.6333333333333" style="89" customWidth="1"/>
    <col min="4" max="4" width="7.63333333333333" style="89" customWidth="1"/>
    <col min="5" max="5" width="9.63333333333333" style="89" customWidth="1"/>
    <col min="6" max="9" width="6.63333333333333" style="89" customWidth="1"/>
    <col min="10" max="11" width="10.6333333333333" style="89" customWidth="1"/>
    <col min="12" max="12" width="9.725" style="89" customWidth="1"/>
    <col min="13" max="16384" width="9.13333333333333" style="89" customWidth="1"/>
  </cols>
  <sheetData>
    <row r="1" ht="35.15" customHeight="1" spans="1:11">
      <c r="A1" s="108" t="s">
        <v>675</v>
      </c>
      <c r="B1" s="109"/>
      <c r="C1" s="109"/>
      <c r="D1" s="109"/>
      <c r="E1" s="109"/>
      <c r="F1" s="109"/>
      <c r="G1" s="109"/>
      <c r="H1" s="109"/>
      <c r="I1" s="109"/>
      <c r="J1" s="117"/>
      <c r="K1" s="118"/>
    </row>
    <row r="2" customHeight="1" spans="1:11">
      <c r="A2" s="54" t="s">
        <v>1</v>
      </c>
      <c r="B2" s="4" t="s">
        <v>2</v>
      </c>
      <c r="C2" s="5"/>
      <c r="D2" s="61" t="s">
        <v>3</v>
      </c>
      <c r="E2" s="4" t="s">
        <v>4</v>
      </c>
      <c r="F2" s="21"/>
      <c r="G2" s="5"/>
      <c r="H2" s="61" t="s">
        <v>5</v>
      </c>
      <c r="I2" s="90" t="s">
        <v>6</v>
      </c>
      <c r="J2" s="4"/>
      <c r="K2" s="119"/>
    </row>
    <row r="3" customHeight="1" spans="1:11">
      <c r="A3" s="63" t="s">
        <v>7</v>
      </c>
      <c r="B3" s="94" t="s">
        <v>8</v>
      </c>
      <c r="C3" s="95"/>
      <c r="D3" s="93" t="s">
        <v>9</v>
      </c>
      <c r="E3" s="94" t="s">
        <v>10</v>
      </c>
      <c r="F3" s="102"/>
      <c r="G3" s="95"/>
      <c r="H3" s="93" t="s">
        <v>11</v>
      </c>
      <c r="I3" s="92" t="s">
        <v>4</v>
      </c>
      <c r="J3" s="94"/>
      <c r="K3" s="120"/>
    </row>
    <row r="4" customHeight="1" spans="1:11">
      <c r="A4" s="110" t="s">
        <v>12</v>
      </c>
      <c r="B4" s="111" t="s">
        <v>13</v>
      </c>
      <c r="C4" s="112"/>
      <c r="D4" s="113" t="s">
        <v>14</v>
      </c>
      <c r="E4" s="111" t="s">
        <v>4</v>
      </c>
      <c r="F4" s="114"/>
      <c r="G4" s="112"/>
      <c r="H4" s="113" t="s">
        <v>15</v>
      </c>
      <c r="I4" s="121" t="s">
        <v>4</v>
      </c>
      <c r="J4" s="111"/>
      <c r="K4" s="122"/>
    </row>
    <row r="5" ht="30" customHeight="1" spans="1:11">
      <c r="A5" s="1" t="s">
        <v>676</v>
      </c>
      <c r="B5" s="2"/>
      <c r="C5" s="2"/>
      <c r="D5" s="2"/>
      <c r="E5" s="2"/>
      <c r="F5" s="2"/>
      <c r="G5" s="2"/>
      <c r="H5" s="2"/>
      <c r="I5" s="2"/>
      <c r="J5" s="19"/>
      <c r="K5" s="20"/>
    </row>
    <row r="6" ht="14.25" spans="1:11">
      <c r="A6" s="7" t="s">
        <v>17</v>
      </c>
      <c r="B6" s="8" t="s">
        <v>677</v>
      </c>
      <c r="C6" s="8" t="s">
        <v>45</v>
      </c>
      <c r="D6" s="9" t="s">
        <v>21</v>
      </c>
      <c r="E6" s="10"/>
      <c r="F6" s="9" t="s">
        <v>678</v>
      </c>
      <c r="G6" s="8" t="s">
        <v>679</v>
      </c>
      <c r="H6" s="8" t="s">
        <v>617</v>
      </c>
      <c r="I6" s="8" t="s">
        <v>24</v>
      </c>
      <c r="J6" s="9" t="s">
        <v>680</v>
      </c>
      <c r="K6" s="23" t="s">
        <v>681</v>
      </c>
    </row>
    <row r="7" spans="1:11">
      <c r="A7" s="101"/>
      <c r="B7" s="101"/>
      <c r="C7" s="101"/>
      <c r="D7" s="115"/>
      <c r="E7" s="116"/>
      <c r="F7" s="101"/>
      <c r="G7" s="101"/>
      <c r="H7" s="101"/>
      <c r="I7" s="101"/>
      <c r="J7" s="101"/>
      <c r="K7" s="101"/>
    </row>
    <row r="8" ht="14.25"/>
    <row r="9" ht="20.25" spans="1:11">
      <c r="A9" s="1" t="s">
        <v>682</v>
      </c>
      <c r="B9" s="2"/>
      <c r="C9" s="2"/>
      <c r="D9" s="2"/>
      <c r="E9" s="2"/>
      <c r="F9" s="2"/>
      <c r="G9" s="2"/>
      <c r="H9" s="2"/>
      <c r="I9" s="2"/>
      <c r="J9" s="19"/>
      <c r="K9" s="20"/>
    </row>
    <row r="10" ht="14.25" spans="1:11">
      <c r="A10" s="3" t="s">
        <v>1</v>
      </c>
      <c r="B10" s="4" t="s">
        <v>2</v>
      </c>
      <c r="C10" s="5"/>
      <c r="D10" s="6" t="s">
        <v>5</v>
      </c>
      <c r="E10" s="4" t="s">
        <v>6</v>
      </c>
      <c r="F10" s="5"/>
      <c r="G10" s="6" t="s">
        <v>11</v>
      </c>
      <c r="H10" s="4" t="s">
        <v>4</v>
      </c>
      <c r="I10" s="21"/>
      <c r="J10" s="21"/>
      <c r="K10" s="22"/>
    </row>
    <row r="11" ht="14.25" spans="1:11">
      <c r="A11" s="7" t="s">
        <v>17</v>
      </c>
      <c r="B11" s="8" t="s">
        <v>677</v>
      </c>
      <c r="C11" s="8" t="s">
        <v>45</v>
      </c>
      <c r="D11" s="9" t="s">
        <v>21</v>
      </c>
      <c r="E11" s="10"/>
      <c r="F11" s="9" t="s">
        <v>616</v>
      </c>
      <c r="G11" s="8" t="s">
        <v>679</v>
      </c>
      <c r="H11" s="8" t="s">
        <v>617</v>
      </c>
      <c r="I11" s="8" t="s">
        <v>24</v>
      </c>
      <c r="J11" s="9" t="s">
        <v>683</v>
      </c>
      <c r="K11" s="23" t="s">
        <v>574</v>
      </c>
    </row>
    <row r="12" spans="1:11">
      <c r="A12" s="11"/>
      <c r="B12" s="12"/>
      <c r="C12" s="13"/>
      <c r="D12" s="14"/>
      <c r="E12" s="15"/>
      <c r="F12" s="14"/>
      <c r="G12" s="13"/>
      <c r="H12" s="13"/>
      <c r="I12" s="13"/>
      <c r="J12" s="14"/>
      <c r="K12" s="24"/>
    </row>
    <row r="13" spans="1:11">
      <c r="A13" s="11"/>
      <c r="B13" s="16"/>
      <c r="C13" s="16"/>
      <c r="D13" s="17"/>
      <c r="E13" s="18"/>
      <c r="F13" s="17"/>
      <c r="G13" s="16"/>
      <c r="H13" s="16"/>
      <c r="I13" s="16"/>
      <c r="J13" s="17"/>
      <c r="K13" s="25"/>
    </row>
  </sheetData>
  <mergeCells count="20">
    <mergeCell ref="A1:K1"/>
    <mergeCell ref="B2:C2"/>
    <mergeCell ref="E2:G2"/>
    <mergeCell ref="I2:K2"/>
    <mergeCell ref="B3:C3"/>
    <mergeCell ref="E3:G3"/>
    <mergeCell ref="I3:K3"/>
    <mergeCell ref="B4:C4"/>
    <mergeCell ref="E4:G4"/>
    <mergeCell ref="I4:K4"/>
    <mergeCell ref="A5:K5"/>
    <mergeCell ref="D6:E6"/>
    <mergeCell ref="D7:E7"/>
    <mergeCell ref="A9:K9"/>
    <mergeCell ref="B10:C10"/>
    <mergeCell ref="E10:F10"/>
    <mergeCell ref="H10:K10"/>
    <mergeCell ref="D11:E11"/>
    <mergeCell ref="D12:E12"/>
    <mergeCell ref="D13:E13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9"/>
  </sheetPr>
  <dimension ref="A1:J7"/>
  <sheetViews>
    <sheetView zoomScale="110" zoomScaleNormal="110" zoomScaleSheetLayoutView="110" workbookViewId="0">
      <selection activeCell="K1" sqref="K1"/>
    </sheetView>
  </sheetViews>
  <sheetFormatPr defaultColWidth="9" defaultRowHeight="13.5" outlineLevelRow="6"/>
  <cols>
    <col min="1" max="1" width="4.63333333333333" style="89" customWidth="1"/>
    <col min="2" max="3" width="15.6333333333333" style="89" customWidth="1"/>
    <col min="4" max="4" width="7.63333333333333" style="89" customWidth="1"/>
    <col min="5" max="5" width="14.6333333333333" style="89" customWidth="1"/>
    <col min="6" max="6" width="6.63333333333333" style="89" customWidth="1"/>
    <col min="7" max="7" width="7.63333333333333" style="89" customWidth="1"/>
    <col min="8" max="9" width="6.63333333333333" style="89" customWidth="1"/>
    <col min="10" max="10" width="10.6333333333333" style="89" customWidth="1"/>
    <col min="11" max="16384" width="9" style="89" customWidth="1"/>
  </cols>
  <sheetData>
    <row r="1" ht="35.15" customHeight="1" spans="1:10">
      <c r="A1" s="26" t="s">
        <v>684</v>
      </c>
      <c r="B1" s="27"/>
      <c r="C1" s="27"/>
      <c r="D1" s="27"/>
      <c r="E1" s="27"/>
      <c r="F1" s="27"/>
      <c r="G1" s="27"/>
      <c r="H1" s="27"/>
      <c r="I1" s="27"/>
      <c r="J1" s="29"/>
    </row>
    <row r="2" spans="1:10">
      <c r="A2" s="58" t="s">
        <v>1</v>
      </c>
      <c r="B2" s="90"/>
      <c r="C2" s="90"/>
      <c r="D2" s="61" t="s">
        <v>3</v>
      </c>
      <c r="E2" s="4"/>
      <c r="F2" s="5"/>
      <c r="G2" s="61" t="s">
        <v>5</v>
      </c>
      <c r="H2" s="4"/>
      <c r="I2" s="21"/>
      <c r="J2" s="22"/>
    </row>
    <row r="3" spans="1:10">
      <c r="A3" s="91" t="s">
        <v>7</v>
      </c>
      <c r="B3" s="92"/>
      <c r="C3" s="92"/>
      <c r="D3" s="93" t="s">
        <v>9</v>
      </c>
      <c r="E3" s="94"/>
      <c r="F3" s="95"/>
      <c r="G3" s="93" t="s">
        <v>11</v>
      </c>
      <c r="H3" s="94"/>
      <c r="I3" s="102"/>
      <c r="J3" s="103"/>
    </row>
    <row r="4" ht="14.25" spans="1:10">
      <c r="A4" s="96" t="s">
        <v>12</v>
      </c>
      <c r="B4" s="97"/>
      <c r="C4" s="97"/>
      <c r="D4" s="98" t="s">
        <v>14</v>
      </c>
      <c r="E4" s="99"/>
      <c r="F4" s="100"/>
      <c r="G4" s="98" t="s">
        <v>15</v>
      </c>
      <c r="H4" s="99"/>
      <c r="I4" s="104"/>
      <c r="J4" s="105"/>
    </row>
    <row r="5" spans="1:10">
      <c r="A5" s="63" t="s">
        <v>17</v>
      </c>
      <c r="B5" s="64" t="s">
        <v>685</v>
      </c>
      <c r="C5" s="64" t="s">
        <v>686</v>
      </c>
      <c r="D5" s="64" t="s">
        <v>20</v>
      </c>
      <c r="E5" s="64" t="s">
        <v>21</v>
      </c>
      <c r="F5" s="64" t="s">
        <v>687</v>
      </c>
      <c r="G5" s="64"/>
      <c r="H5" s="64"/>
      <c r="I5" s="106" t="s">
        <v>688</v>
      </c>
      <c r="J5" s="107" t="s">
        <v>689</v>
      </c>
    </row>
    <row r="6" spans="1:10">
      <c r="A6" s="63"/>
      <c r="B6" s="64"/>
      <c r="C6" s="64"/>
      <c r="D6" s="64"/>
      <c r="E6" s="64"/>
      <c r="F6" s="64" t="s">
        <v>27</v>
      </c>
      <c r="G6" s="64" t="s">
        <v>28</v>
      </c>
      <c r="H6" s="64" t="s">
        <v>29</v>
      </c>
      <c r="I6" s="64"/>
      <c r="J6" s="50"/>
    </row>
    <row r="7" spans="1:10">
      <c r="A7" s="101"/>
      <c r="B7" s="101"/>
      <c r="C7" s="101"/>
      <c r="D7" s="101"/>
      <c r="E7" s="101"/>
      <c r="F7" s="101"/>
      <c r="G7" s="101"/>
      <c r="H7" s="101"/>
      <c r="I7" s="101"/>
      <c r="J7" s="101"/>
    </row>
  </sheetData>
  <mergeCells count="18">
    <mergeCell ref="A1:J1"/>
    <mergeCell ref="B2:C2"/>
    <mergeCell ref="E2:F2"/>
    <mergeCell ref="H2:J2"/>
    <mergeCell ref="B3:C3"/>
    <mergeCell ref="E3:F3"/>
    <mergeCell ref="H3:J3"/>
    <mergeCell ref="B4:C4"/>
    <mergeCell ref="E4:F4"/>
    <mergeCell ref="H4:J4"/>
    <mergeCell ref="F5:H5"/>
    <mergeCell ref="A5:A6"/>
    <mergeCell ref="B5:B6"/>
    <mergeCell ref="C5:C6"/>
    <mergeCell ref="D5:D6"/>
    <mergeCell ref="E5:E6"/>
    <mergeCell ref="I5:I6"/>
    <mergeCell ref="J5:J6"/>
  </mergeCells>
  <pageMargins left="0.393700787401575" right="0.393700787401575" top="0.590551181102362" bottom="0.590551181102362" header="0.511811023622047" footer="0.511811023622047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M25"/>
  <sheetViews>
    <sheetView zoomScale="110" zoomScaleNormal="110" topLeftCell="A7" workbookViewId="0">
      <selection activeCell="O19" sqref="O19"/>
    </sheetView>
  </sheetViews>
  <sheetFormatPr defaultColWidth="9" defaultRowHeight="13.5"/>
  <sheetData>
    <row r="1" ht="14.25"/>
    <row r="2" ht="20.25" spans="2:13">
      <c r="B2" s="1" t="s">
        <v>690</v>
      </c>
      <c r="C2" s="2"/>
      <c r="D2" s="2"/>
      <c r="E2" s="2"/>
      <c r="F2" s="2"/>
      <c r="G2" s="2"/>
      <c r="H2" s="2"/>
      <c r="I2" s="2"/>
      <c r="J2" s="2"/>
      <c r="K2" s="2"/>
      <c r="L2" s="2"/>
      <c r="M2" s="20"/>
    </row>
    <row r="3" spans="2:13">
      <c r="B3" s="58" t="s">
        <v>1</v>
      </c>
      <c r="C3" s="59" t="s">
        <v>2</v>
      </c>
      <c r="D3" s="60"/>
      <c r="E3" s="61" t="s">
        <v>5</v>
      </c>
      <c r="F3" s="59" t="s">
        <v>6</v>
      </c>
      <c r="G3" s="62"/>
      <c r="H3" s="62"/>
      <c r="I3" s="60"/>
      <c r="J3" s="61" t="s">
        <v>11</v>
      </c>
      <c r="K3" s="59" t="s">
        <v>4</v>
      </c>
      <c r="L3" s="62"/>
      <c r="M3" s="80"/>
    </row>
    <row r="4" spans="2:13">
      <c r="B4" s="63" t="s">
        <v>17</v>
      </c>
      <c r="C4" s="64" t="s">
        <v>18</v>
      </c>
      <c r="D4" s="64" t="s">
        <v>19</v>
      </c>
      <c r="E4" s="64" t="s">
        <v>20</v>
      </c>
      <c r="F4" s="64" t="s">
        <v>21</v>
      </c>
      <c r="G4" s="64" t="s">
        <v>22</v>
      </c>
      <c r="H4" s="64"/>
      <c r="I4" s="64"/>
      <c r="J4" s="64" t="s">
        <v>23</v>
      </c>
      <c r="K4" s="64" t="s">
        <v>24</v>
      </c>
      <c r="L4" s="64" t="s">
        <v>550</v>
      </c>
      <c r="M4" s="50" t="s">
        <v>26</v>
      </c>
    </row>
    <row r="5" ht="14.25" spans="2:13">
      <c r="B5" s="34"/>
      <c r="C5" s="35"/>
      <c r="D5" s="35"/>
      <c r="E5" s="35"/>
      <c r="F5" s="35"/>
      <c r="G5" s="35" t="s">
        <v>27</v>
      </c>
      <c r="H5" s="35" t="s">
        <v>28</v>
      </c>
      <c r="I5" s="35" t="s">
        <v>29</v>
      </c>
      <c r="J5" s="35"/>
      <c r="K5" s="35"/>
      <c r="L5" s="35"/>
      <c r="M5" s="38"/>
    </row>
    <row r="6" spans="2:13">
      <c r="B6" s="11"/>
      <c r="C6" s="15"/>
      <c r="D6" s="13"/>
      <c r="E6" s="13"/>
      <c r="F6" s="13"/>
      <c r="G6" s="13"/>
      <c r="H6" s="13"/>
      <c r="I6" s="13"/>
      <c r="J6" s="13"/>
      <c r="K6" s="13"/>
      <c r="L6" s="13"/>
      <c r="M6" s="24"/>
    </row>
    <row r="7" spans="2:13">
      <c r="B7" s="11"/>
      <c r="C7" s="15"/>
      <c r="D7" s="16"/>
      <c r="E7" s="13"/>
      <c r="F7" s="13"/>
      <c r="G7" s="16"/>
      <c r="H7" s="16"/>
      <c r="I7" s="16"/>
      <c r="J7" s="16"/>
      <c r="K7" s="16"/>
      <c r="L7" s="16"/>
      <c r="M7" s="25"/>
    </row>
    <row r="8" ht="14.25"/>
    <row r="9" ht="20.25" spans="2:13">
      <c r="B9" s="65" t="s">
        <v>43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81"/>
    </row>
    <row r="10" spans="2:13">
      <c r="B10" s="58" t="s">
        <v>1</v>
      </c>
      <c r="C10" s="59" t="s">
        <v>2</v>
      </c>
      <c r="D10" s="60"/>
      <c r="E10" s="61" t="s">
        <v>5</v>
      </c>
      <c r="F10" s="59" t="s">
        <v>6</v>
      </c>
      <c r="G10" s="62"/>
      <c r="H10" s="62"/>
      <c r="I10" s="60"/>
      <c r="J10" s="61" t="s">
        <v>11</v>
      </c>
      <c r="K10" s="59" t="s">
        <v>4</v>
      </c>
      <c r="L10" s="62"/>
      <c r="M10" s="80"/>
    </row>
    <row r="11" ht="14.25" spans="2:13">
      <c r="B11" s="34" t="s">
        <v>17</v>
      </c>
      <c r="C11" s="35" t="s">
        <v>44</v>
      </c>
      <c r="D11" s="35" t="s">
        <v>45</v>
      </c>
      <c r="E11" s="36" t="s">
        <v>46</v>
      </c>
      <c r="F11" s="67"/>
      <c r="G11" s="67"/>
      <c r="H11" s="67"/>
      <c r="I11" s="67"/>
      <c r="J11" s="37"/>
      <c r="K11" s="35" t="s">
        <v>24</v>
      </c>
      <c r="L11" s="35" t="s">
        <v>23</v>
      </c>
      <c r="M11" s="38" t="s">
        <v>26</v>
      </c>
    </row>
    <row r="12" spans="2:13">
      <c r="B12" s="68"/>
      <c r="C12" s="69"/>
      <c r="D12" s="70"/>
      <c r="E12" s="71"/>
      <c r="F12" s="72"/>
      <c r="G12" s="72"/>
      <c r="H12" s="72"/>
      <c r="I12" s="72"/>
      <c r="J12" s="69"/>
      <c r="K12" s="70"/>
      <c r="L12" s="70"/>
      <c r="M12" s="82"/>
    </row>
    <row r="13" spans="2:13">
      <c r="B13" s="68"/>
      <c r="C13" s="73"/>
      <c r="D13" s="74"/>
      <c r="E13" s="75"/>
      <c r="F13" s="76"/>
      <c r="G13" s="76"/>
      <c r="H13" s="76"/>
      <c r="I13" s="76"/>
      <c r="J13" s="73"/>
      <c r="K13" s="74"/>
      <c r="L13" s="74"/>
      <c r="M13" s="83"/>
    </row>
    <row r="14" ht="14.25"/>
    <row r="15" ht="20.25" spans="2:13">
      <c r="B15" s="65" t="s">
        <v>99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81"/>
    </row>
    <row r="16" spans="2:13">
      <c r="B16" s="58" t="s">
        <v>1</v>
      </c>
      <c r="C16" s="59" t="s">
        <v>2</v>
      </c>
      <c r="D16" s="60"/>
      <c r="E16" s="61" t="s">
        <v>5</v>
      </c>
      <c r="F16" s="59" t="s">
        <v>6</v>
      </c>
      <c r="G16" s="62"/>
      <c r="H16" s="62"/>
      <c r="I16" s="60"/>
      <c r="J16" s="61" t="s">
        <v>11</v>
      </c>
      <c r="K16" s="59" t="s">
        <v>4</v>
      </c>
      <c r="L16" s="62"/>
      <c r="M16" s="80"/>
    </row>
    <row r="17" ht="14.25" spans="2:13">
      <c r="B17" s="34" t="s">
        <v>17</v>
      </c>
      <c r="C17" s="35" t="s">
        <v>44</v>
      </c>
      <c r="D17" s="35" t="s">
        <v>45</v>
      </c>
      <c r="E17" s="36" t="s">
        <v>21</v>
      </c>
      <c r="F17" s="67"/>
      <c r="G17" s="67"/>
      <c r="H17" s="67"/>
      <c r="I17" s="67"/>
      <c r="J17" s="35" t="s">
        <v>23</v>
      </c>
      <c r="K17" s="36" t="s">
        <v>100</v>
      </c>
      <c r="L17" s="37"/>
      <c r="M17" s="38" t="s">
        <v>26</v>
      </c>
    </row>
    <row r="18" spans="2:13">
      <c r="B18" s="11"/>
      <c r="C18" s="15"/>
      <c r="D18" s="13"/>
      <c r="E18" s="77"/>
      <c r="F18" s="78"/>
      <c r="G18" s="78"/>
      <c r="H18" s="78"/>
      <c r="I18" s="78"/>
      <c r="J18" s="13"/>
      <c r="K18" s="77"/>
      <c r="L18" s="84"/>
      <c r="M18" s="24"/>
    </row>
    <row r="19" spans="2:13">
      <c r="B19" s="11"/>
      <c r="C19" s="18"/>
      <c r="D19" s="16"/>
      <c r="E19" s="17"/>
      <c r="F19" s="41"/>
      <c r="G19" s="41"/>
      <c r="H19" s="41"/>
      <c r="I19" s="41"/>
      <c r="J19" s="13"/>
      <c r="K19" s="17"/>
      <c r="L19" s="18"/>
      <c r="M19" s="25"/>
    </row>
    <row r="20" ht="14.25"/>
    <row r="21" ht="20.25" spans="2:13">
      <c r="B21" s="65" t="s">
        <v>691</v>
      </c>
      <c r="C21" s="66"/>
      <c r="D21" s="66"/>
      <c r="E21" s="66"/>
      <c r="F21" s="66"/>
      <c r="G21" s="66"/>
      <c r="H21" s="66"/>
      <c r="I21" s="53"/>
      <c r="J21" s="53"/>
      <c r="K21" s="53"/>
      <c r="L21" s="66"/>
      <c r="M21" s="81"/>
    </row>
    <row r="22" spans="2:13">
      <c r="B22" s="58" t="s">
        <v>1</v>
      </c>
      <c r="C22" s="59" t="s">
        <v>2</v>
      </c>
      <c r="D22" s="60"/>
      <c r="E22" s="61" t="s">
        <v>5</v>
      </c>
      <c r="F22" s="59" t="s">
        <v>6</v>
      </c>
      <c r="G22" s="62"/>
      <c r="H22" s="62"/>
      <c r="I22" s="60"/>
      <c r="J22" s="61" t="s">
        <v>11</v>
      </c>
      <c r="K22" s="59" t="s">
        <v>4</v>
      </c>
      <c r="L22" s="62"/>
      <c r="M22" s="80"/>
    </row>
    <row r="23" ht="14.25" spans="2:13">
      <c r="B23" s="34" t="s">
        <v>17</v>
      </c>
      <c r="C23" s="35" t="s">
        <v>677</v>
      </c>
      <c r="D23" s="35" t="s">
        <v>45</v>
      </c>
      <c r="E23" s="36" t="s">
        <v>21</v>
      </c>
      <c r="F23" s="67"/>
      <c r="G23" s="67"/>
      <c r="H23" s="37"/>
      <c r="I23" s="35" t="s">
        <v>29</v>
      </c>
      <c r="J23" s="35" t="s">
        <v>28</v>
      </c>
      <c r="K23" s="35" t="s">
        <v>100</v>
      </c>
      <c r="L23" s="37" t="s">
        <v>23</v>
      </c>
      <c r="M23" s="38" t="s">
        <v>26</v>
      </c>
    </row>
    <row r="24" spans="2:13">
      <c r="B24" s="11"/>
      <c r="C24" s="79"/>
      <c r="D24" s="13"/>
      <c r="E24" s="14"/>
      <c r="F24" s="79"/>
      <c r="G24" s="79"/>
      <c r="H24" s="15"/>
      <c r="I24" s="13"/>
      <c r="J24" s="85"/>
      <c r="K24" s="86"/>
      <c r="L24" s="13"/>
      <c r="M24" s="24"/>
    </row>
    <row r="25" spans="2:13">
      <c r="B25" s="11"/>
      <c r="C25" s="79"/>
      <c r="D25" s="13"/>
      <c r="E25" s="17"/>
      <c r="F25" s="41"/>
      <c r="G25" s="41"/>
      <c r="H25" s="18"/>
      <c r="I25" s="16"/>
      <c r="J25" s="87"/>
      <c r="K25" s="88"/>
      <c r="L25" s="16"/>
      <c r="M25" s="25"/>
    </row>
  </sheetData>
  <mergeCells count="38">
    <mergeCell ref="B2:M2"/>
    <mergeCell ref="C3:D3"/>
    <mergeCell ref="F3:I3"/>
    <mergeCell ref="K3:M3"/>
    <mergeCell ref="G4:I4"/>
    <mergeCell ref="B9:M9"/>
    <mergeCell ref="C10:D10"/>
    <mergeCell ref="F10:I10"/>
    <mergeCell ref="K10:M10"/>
    <mergeCell ref="E11:J11"/>
    <mergeCell ref="E12:J12"/>
    <mergeCell ref="E13:J13"/>
    <mergeCell ref="B15:M15"/>
    <mergeCell ref="C16:D16"/>
    <mergeCell ref="F16:I16"/>
    <mergeCell ref="K16:M16"/>
    <mergeCell ref="E17:I17"/>
    <mergeCell ref="K17:L17"/>
    <mergeCell ref="E18:I18"/>
    <mergeCell ref="K18:L18"/>
    <mergeCell ref="E19:I19"/>
    <mergeCell ref="K19:L19"/>
    <mergeCell ref="B21:M21"/>
    <mergeCell ref="C22:D22"/>
    <mergeCell ref="F22:I22"/>
    <mergeCell ref="K22:M22"/>
    <mergeCell ref="E23:H23"/>
    <mergeCell ref="E24:H24"/>
    <mergeCell ref="E25:H25"/>
    <mergeCell ref="B4:B5"/>
    <mergeCell ref="C4:C5"/>
    <mergeCell ref="D4:D5"/>
    <mergeCell ref="E4:E5"/>
    <mergeCell ref="F4:F5"/>
    <mergeCell ref="J4:J5"/>
    <mergeCell ref="K4:K5"/>
    <mergeCell ref="L4:L5"/>
    <mergeCell ref="M4:M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K7"/>
  <sheetViews>
    <sheetView zoomScale="110" zoomScaleNormal="110" workbookViewId="0">
      <selection activeCell="J20" sqref="J20"/>
    </sheetView>
  </sheetViews>
  <sheetFormatPr defaultColWidth="9" defaultRowHeight="13.5" outlineLevelRow="6"/>
  <sheetData>
    <row r="1" ht="14.25"/>
    <row r="2" ht="20.25" spans="2:11">
      <c r="B2" s="51" t="s">
        <v>569</v>
      </c>
      <c r="C2" s="52"/>
      <c r="D2" s="53"/>
      <c r="E2" s="53"/>
      <c r="F2" s="53"/>
      <c r="G2" s="53"/>
      <c r="H2" s="53"/>
      <c r="I2" s="53"/>
      <c r="J2" s="53"/>
      <c r="K2" s="56"/>
    </row>
    <row r="3" spans="2:11">
      <c r="B3" s="54" t="s">
        <v>1</v>
      </c>
      <c r="C3" s="4" t="s">
        <v>2</v>
      </c>
      <c r="D3" s="5"/>
      <c r="E3" s="55" t="s">
        <v>5</v>
      </c>
      <c r="F3" s="4" t="s">
        <v>6</v>
      </c>
      <c r="G3" s="5"/>
      <c r="H3" s="55" t="s">
        <v>11</v>
      </c>
      <c r="I3" s="4" t="s">
        <v>4</v>
      </c>
      <c r="J3" s="21"/>
      <c r="K3" s="22"/>
    </row>
    <row r="4" spans="2:11">
      <c r="B4" s="3" t="s">
        <v>17</v>
      </c>
      <c r="C4" s="44" t="s">
        <v>18</v>
      </c>
      <c r="D4" s="6" t="s">
        <v>19</v>
      </c>
      <c r="E4" s="6" t="s">
        <v>20</v>
      </c>
      <c r="F4" s="45" t="s">
        <v>21</v>
      </c>
      <c r="G4" s="6" t="s">
        <v>22</v>
      </c>
      <c r="H4" s="6"/>
      <c r="I4" s="6"/>
      <c r="J4" s="6" t="s">
        <v>24</v>
      </c>
      <c r="K4" s="57" t="s">
        <v>550</v>
      </c>
    </row>
    <row r="5" ht="14.25" spans="2:11">
      <c r="B5" s="34"/>
      <c r="C5" s="46"/>
      <c r="D5" s="35"/>
      <c r="E5" s="35"/>
      <c r="F5" s="47"/>
      <c r="G5" s="35" t="s">
        <v>27</v>
      </c>
      <c r="H5" s="35" t="s">
        <v>28</v>
      </c>
      <c r="I5" s="35" t="s">
        <v>29</v>
      </c>
      <c r="J5" s="35"/>
      <c r="K5" s="38"/>
    </row>
    <row r="6" spans="2:11">
      <c r="B6" s="39"/>
      <c r="C6" s="16"/>
      <c r="D6" s="16"/>
      <c r="E6" s="16"/>
      <c r="F6" s="16"/>
      <c r="G6" s="16"/>
      <c r="H6" s="16"/>
      <c r="I6" s="16"/>
      <c r="J6" s="16"/>
      <c r="K6" s="25"/>
    </row>
    <row r="7" spans="2:11">
      <c r="B7" s="39"/>
      <c r="C7" s="16"/>
      <c r="D7" s="16"/>
      <c r="E7" s="16"/>
      <c r="F7" s="16"/>
      <c r="G7" s="16"/>
      <c r="H7" s="16"/>
      <c r="I7" s="16"/>
      <c r="J7" s="16"/>
      <c r="K7" s="25"/>
    </row>
  </sheetData>
  <mergeCells count="12">
    <mergeCell ref="B2:K2"/>
    <mergeCell ref="C3:D3"/>
    <mergeCell ref="F3:G3"/>
    <mergeCell ref="I3:K3"/>
    <mergeCell ref="G4:I4"/>
    <mergeCell ref="B4:B5"/>
    <mergeCell ref="C4:C5"/>
    <mergeCell ref="D4:D5"/>
    <mergeCell ref="E4:E5"/>
    <mergeCell ref="F4:F5"/>
    <mergeCell ref="J4:J5"/>
    <mergeCell ref="K4:K5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1:L7"/>
  <sheetViews>
    <sheetView zoomScale="110" zoomScaleNormal="110" workbookViewId="0">
      <selection activeCell="A1" sqref="A1"/>
    </sheetView>
  </sheetViews>
  <sheetFormatPr defaultColWidth="9" defaultRowHeight="13.5" outlineLevelRow="6"/>
  <sheetData>
    <row r="1" ht="14.25"/>
    <row r="2" ht="20.25" spans="2:12">
      <c r="B2" s="42" t="s">
        <v>569</v>
      </c>
      <c r="C2" s="43"/>
      <c r="D2" s="43"/>
      <c r="E2" s="43"/>
      <c r="F2" s="43"/>
      <c r="G2" s="43"/>
      <c r="H2" s="43"/>
      <c r="I2" s="43"/>
      <c r="J2" s="43"/>
      <c r="K2" s="43"/>
      <c r="L2" s="48"/>
    </row>
    <row r="3" spans="2:12">
      <c r="B3" s="3" t="s">
        <v>1</v>
      </c>
      <c r="C3" s="4" t="s">
        <v>2</v>
      </c>
      <c r="D3" s="5"/>
      <c r="E3" s="6" t="s">
        <v>5</v>
      </c>
      <c r="F3" s="4" t="s">
        <v>6</v>
      </c>
      <c r="G3" s="5"/>
      <c r="H3" s="6" t="s">
        <v>11</v>
      </c>
      <c r="I3" s="4" t="s">
        <v>4</v>
      </c>
      <c r="J3" s="21"/>
      <c r="K3" s="21"/>
      <c r="L3" s="22"/>
    </row>
    <row r="4" spans="2:12">
      <c r="B4" s="3" t="s">
        <v>17</v>
      </c>
      <c r="C4" s="44" t="s">
        <v>18</v>
      </c>
      <c r="D4" s="6" t="s">
        <v>19</v>
      </c>
      <c r="E4" s="6" t="s">
        <v>20</v>
      </c>
      <c r="F4" s="45" t="s">
        <v>21</v>
      </c>
      <c r="G4" s="6" t="s">
        <v>22</v>
      </c>
      <c r="H4" s="6"/>
      <c r="I4" s="6"/>
      <c r="J4" s="6" t="s">
        <v>25</v>
      </c>
      <c r="K4" s="49" t="s">
        <v>24</v>
      </c>
      <c r="L4" s="50" t="s">
        <v>574</v>
      </c>
    </row>
    <row r="5" ht="14.25" spans="2:12">
      <c r="B5" s="34"/>
      <c r="C5" s="46"/>
      <c r="D5" s="35"/>
      <c r="E5" s="35"/>
      <c r="F5" s="47"/>
      <c r="G5" s="35" t="s">
        <v>27</v>
      </c>
      <c r="H5" s="35" t="s">
        <v>28</v>
      </c>
      <c r="I5" s="35" t="s">
        <v>29</v>
      </c>
      <c r="J5" s="35"/>
      <c r="K5" s="36"/>
      <c r="L5" s="38"/>
    </row>
    <row r="6" spans="2:12">
      <c r="B6" s="39"/>
      <c r="C6" s="40"/>
      <c r="D6" s="16"/>
      <c r="E6" s="16"/>
      <c r="F6" s="16"/>
      <c r="G6" s="16"/>
      <c r="H6" s="16"/>
      <c r="I6" s="16"/>
      <c r="J6" s="16"/>
      <c r="K6" s="16"/>
      <c r="L6" s="25"/>
    </row>
    <row r="7" spans="2:12">
      <c r="B7" s="39"/>
      <c r="C7" s="40"/>
      <c r="D7" s="16"/>
      <c r="E7" s="16"/>
      <c r="F7" s="16"/>
      <c r="G7" s="16"/>
      <c r="H7" s="16"/>
      <c r="I7" s="16"/>
      <c r="J7" s="16"/>
      <c r="K7" s="16"/>
      <c r="L7" s="25"/>
    </row>
  </sheetData>
  <mergeCells count="13">
    <mergeCell ref="B2:L2"/>
    <mergeCell ref="C3:D3"/>
    <mergeCell ref="F3:G3"/>
    <mergeCell ref="I3:L3"/>
    <mergeCell ref="G4:I4"/>
    <mergeCell ref="B4:B5"/>
    <mergeCell ref="C4:C5"/>
    <mergeCell ref="D4:D5"/>
    <mergeCell ref="E4:E5"/>
    <mergeCell ref="F4:F5"/>
    <mergeCell ref="J4:J5"/>
    <mergeCell ref="K4:K5"/>
    <mergeCell ref="L4:L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B1:H6"/>
  <sheetViews>
    <sheetView zoomScale="110" zoomScaleNormal="110" workbookViewId="0">
      <selection activeCell="F12" sqref="F12"/>
    </sheetView>
  </sheetViews>
  <sheetFormatPr defaultColWidth="9" defaultRowHeight="13.5" outlineLevelRow="5" outlineLevelCol="7"/>
  <sheetData>
    <row r="1" ht="14.25"/>
    <row r="2" ht="26.25" spans="2:8">
      <c r="B2" s="26" t="s">
        <v>614</v>
      </c>
      <c r="C2" s="27"/>
      <c r="D2" s="27"/>
      <c r="E2" s="27"/>
      <c r="F2" s="27"/>
      <c r="G2" s="28"/>
      <c r="H2" s="29"/>
    </row>
    <row r="3" spans="2:8">
      <c r="B3" s="30" t="s">
        <v>1</v>
      </c>
      <c r="C3" s="4" t="s">
        <v>2</v>
      </c>
      <c r="D3" s="5"/>
      <c r="E3" s="31" t="s">
        <v>6</v>
      </c>
      <c r="F3" s="32" t="s">
        <v>6</v>
      </c>
      <c r="G3" s="31" t="s">
        <v>615</v>
      </c>
      <c r="H3" s="33" t="s">
        <v>4</v>
      </c>
    </row>
    <row r="4" ht="14.25" spans="2:8">
      <c r="B4" s="34" t="s">
        <v>17</v>
      </c>
      <c r="C4" s="35" t="s">
        <v>44</v>
      </c>
      <c r="D4" s="35" t="s">
        <v>45</v>
      </c>
      <c r="E4" s="35" t="s">
        <v>616</v>
      </c>
      <c r="F4" s="36" t="s">
        <v>21</v>
      </c>
      <c r="G4" s="37"/>
      <c r="H4" s="38" t="s">
        <v>617</v>
      </c>
    </row>
    <row r="5" spans="2:8">
      <c r="B5" s="39"/>
      <c r="C5" s="40"/>
      <c r="D5" s="40"/>
      <c r="E5" s="16"/>
      <c r="F5" s="17"/>
      <c r="G5" s="41"/>
      <c r="H5" s="25"/>
    </row>
    <row r="6" spans="2:8">
      <c r="B6" s="39"/>
      <c r="C6" s="40"/>
      <c r="D6" s="40"/>
      <c r="E6" s="16"/>
      <c r="F6" s="17"/>
      <c r="G6" s="41"/>
      <c r="H6" s="25"/>
    </row>
  </sheetData>
  <mergeCells count="5">
    <mergeCell ref="B2:H2"/>
    <mergeCell ref="C3:D3"/>
    <mergeCell ref="F4:G4"/>
    <mergeCell ref="F5:G5"/>
    <mergeCell ref="F6:G6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B1:L6"/>
  <sheetViews>
    <sheetView zoomScale="110" zoomScaleNormal="110" workbookViewId="0">
      <selection activeCell="K18" sqref="K18"/>
    </sheetView>
  </sheetViews>
  <sheetFormatPr defaultColWidth="9" defaultRowHeight="13.5" outlineLevelRow="5"/>
  <sheetData>
    <row r="1" ht="14.25"/>
    <row r="2" ht="20.25" spans="2:12">
      <c r="B2" s="1" t="s">
        <v>682</v>
      </c>
      <c r="C2" s="2"/>
      <c r="D2" s="2"/>
      <c r="E2" s="2"/>
      <c r="F2" s="2"/>
      <c r="G2" s="2"/>
      <c r="H2" s="2"/>
      <c r="I2" s="2"/>
      <c r="J2" s="2"/>
      <c r="K2" s="19"/>
      <c r="L2" s="20"/>
    </row>
    <row r="3" ht="14.25" spans="2:12">
      <c r="B3" s="3" t="s">
        <v>1</v>
      </c>
      <c r="C3" s="4" t="s">
        <v>2</v>
      </c>
      <c r="D3" s="5"/>
      <c r="E3" s="6" t="s">
        <v>5</v>
      </c>
      <c r="F3" s="4" t="s">
        <v>6</v>
      </c>
      <c r="G3" s="5"/>
      <c r="H3" s="6" t="s">
        <v>11</v>
      </c>
      <c r="I3" s="4" t="s">
        <v>4</v>
      </c>
      <c r="J3" s="21"/>
      <c r="K3" s="21"/>
      <c r="L3" s="22"/>
    </row>
    <row r="4" ht="14.25" spans="2:12">
      <c r="B4" s="7" t="s">
        <v>17</v>
      </c>
      <c r="C4" s="8" t="s">
        <v>677</v>
      </c>
      <c r="D4" s="8" t="s">
        <v>45</v>
      </c>
      <c r="E4" s="9" t="s">
        <v>21</v>
      </c>
      <c r="F4" s="10"/>
      <c r="G4" s="9" t="s">
        <v>616</v>
      </c>
      <c r="H4" s="8" t="s">
        <v>679</v>
      </c>
      <c r="I4" s="8" t="s">
        <v>617</v>
      </c>
      <c r="J4" s="8" t="s">
        <v>24</v>
      </c>
      <c r="K4" s="9" t="s">
        <v>683</v>
      </c>
      <c r="L4" s="23" t="s">
        <v>574</v>
      </c>
    </row>
    <row r="5" spans="2:12">
      <c r="B5" s="11"/>
      <c r="C5" s="12"/>
      <c r="D5" s="13"/>
      <c r="E5" s="14"/>
      <c r="F5" s="15"/>
      <c r="G5" s="14"/>
      <c r="H5" s="13"/>
      <c r="I5" s="13"/>
      <c r="J5" s="13"/>
      <c r="K5" s="14"/>
      <c r="L5" s="24"/>
    </row>
    <row r="6" spans="2:12">
      <c r="B6" s="11"/>
      <c r="C6" s="16"/>
      <c r="D6" s="16"/>
      <c r="E6" s="17"/>
      <c r="F6" s="18"/>
      <c r="G6" s="17"/>
      <c r="H6" s="16"/>
      <c r="I6" s="16"/>
      <c r="J6" s="16"/>
      <c r="K6" s="17"/>
      <c r="L6" s="25"/>
    </row>
  </sheetData>
  <mergeCells count="7">
    <mergeCell ref="B2:L2"/>
    <mergeCell ref="C3:D3"/>
    <mergeCell ref="F3:G3"/>
    <mergeCell ref="I3:L3"/>
    <mergeCell ref="E4:F4"/>
    <mergeCell ref="E5:F5"/>
    <mergeCell ref="E6:F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展开-报价单</vt:lpstr>
      <vt:lpstr>柜体-报价单</vt:lpstr>
      <vt:lpstr>板件清单</vt:lpstr>
      <vt:lpstr>柜体清单</vt:lpstr>
      <vt:lpstr>门板清单</vt:lpstr>
      <vt:lpstr>五金|辅料清单</vt:lpstr>
      <vt:lpstr>开料单</vt:lpstr>
      <vt:lpstr>罗马柱|顶线</vt:lpstr>
      <vt:lpstr>大板预估用量</vt:lpstr>
      <vt:lpstr>HdrCost</vt:lpstr>
      <vt:lpstr>HdrPlate</vt:lpstr>
      <vt:lpstr>HdrDoor</vt:lpstr>
      <vt:lpstr>HdrHw</vt:lpstr>
      <vt:lpstr>HdrRome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连鹏夏</dc:creator>
  <cp:lastModifiedBy>苟信仏惟信ふ</cp:lastModifiedBy>
  <dcterms:created xsi:type="dcterms:W3CDTF">2014-11-10T05:00:00Z</dcterms:created>
  <cp:lastPrinted>2021-02-23T02:49:00Z</cp:lastPrinted>
  <dcterms:modified xsi:type="dcterms:W3CDTF">2025-01-06T04:45:49Z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4B3B8A450FB3496C9B848F393119FBC2_12</vt:lpwstr>
  </property>
</Properties>
</file>